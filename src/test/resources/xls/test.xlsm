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6cd1375417914a0b"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cc411ee8a4184087"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mc:AlternateContent xmlns:mc="http://schemas.openxmlformats.org/markup-compatibility/2006">
    <mc:Choice Requires="x15">
      <x15ac:absPath xmlns:x15ac="http://schemas.microsoft.com/office/spreadsheetml/2010/11/ac" url="Z:\IdeaProjects\malaria-plant-db\src\test\resources\xls\"/>
    </mc:Choice>
  </mc:AlternateContent>
  <workbookProtection lockStructure="1"/>
  <bookViews>
    <workbookView xWindow="0" yWindow="0" windowWidth="5475" windowHeight="390" tabRatio="698" firstSheet="2" activeTab="6"/>
  </bookViews>
  <sheets>
    <sheet name="Help" sheetId="7" r:id="rId1"/>
    <sheet name="1 - PUBLI" sheetId="1" r:id="rId2"/>
    <sheet name="2 - SPECIES" sheetId="2" r:id="rId3"/>
    <sheet name="3 - PLANT INGREDIENTS" sheetId="9" r:id="rId4"/>
    <sheet name="4 - ETHNO" sheetId="3" r:id="rId5"/>
    <sheet name="5 - IN VIVO PHARMACO" sheetId="4" r:id="rId6"/>
    <sheet name="6 - IN VITRO PHARMACO" sheetId="5" r:id="rId7"/>
    <sheet name="7 - CLINICAL" sheetId="6" r:id="rId8"/>
    <sheet name="_LISTS" sheetId="8" state="hidden" r:id="rId9"/>
  </sheets>
  <functionGroups builtInGroupCount="18"/>
  <definedNames>
    <definedName name="administrationRouteList">OFFSET(_LISTS!$26:$26,0,0,1,COUNTA(_LISTS!$26:$26))</definedName>
    <definedName name="continentList">OFFSET(_LISTS!$11:$11,0,0,1,COUNTA(_LISTS!$11:$11))</definedName>
    <definedName name="countryList">OFFSET(_LISTS!$8:$8,0,0,1,COUNTA(_LISTS!$8:$8))</definedName>
    <definedName name="entryTypeList">OFFSET(_LISTS!$14:$14,0,0,1,COUNTA(_LISTS!$14:$14))</definedName>
    <definedName name="extractionSolventList">OFFSET(_LISTS!$39:$39,0,0,1,COUNTA(_LISTS!$39:$39))</definedName>
    <definedName name="ingredientsRefs">'3 - PLANT INGREDIENTS'!$V$2:INDEX('3 - PLANT INGREDIENTS'!$V$2:$V$105,COUNTIF('3 - PLANT INGREDIENTS'!$V$2:$V$105,"?*"))</definedName>
    <definedName name="inVitroScreeningTestList">OFFSET(_LISTS!$31:$31,0,0,1,COUNTA(_LISTS!$31:$31))</definedName>
    <definedName name="inVivoRouteList">OFFSET(_LISTS!$33:$33,0,0,1,COUNTA(_LISTS!$33:$33))</definedName>
    <definedName name="inVivoScreeningTestList">OFFSET(_LISTS!$29:$29,0,0,1,COUNTA(_LISTS!$29:$29))</definedName>
    <definedName name="measureMethodList">OFFSET(_LISTS!$35:$35,0,0,1,COUNTA(_LISTS!$35:$35))</definedName>
    <definedName name="monthsList">_LISTS!$A$16:$L$16</definedName>
    <definedName name="plantPartsList">OFFSET(_LISTS!$19:$19,0,0,1,COUNTA(_LISTS!$19:$19))</definedName>
    <definedName name="preparationModeList">OFFSET(_LISTS!$24:$24,0,0,1,COUNTA(_LISTS!$24:$24))</definedName>
    <definedName name="publiRefs">'1 - PUBLI'!$W$2:INDEX('1 - PUBLI'!$W$2:$W$100,COUNTIF('1 - PUBLI'!$W$2:$W$100,"?*"))</definedName>
    <definedName name="speciesRefs">'2 - SPECIES'!$K$2:INDEX('2 - SPECIES'!$K$2:$K$100,COUNTIF('2 - SPECIES'!$K$2:$K$100,"?*"))</definedName>
    <definedName name="testedEntitiesList">OFFSET(_LISTS!$37:$37,0,0,1,COUNTA(_LISTS!$37:$37))</definedName>
    <definedName name="treatmentRouteList">OFFSET(_LISTS!$33:$33,0,0,1,COUNTA(_LISTS!$33:$33))</definedName>
    <definedName name="treatmentTypeList">OFFSET(_LISTS!$22:$22,0,0,1,COUNTA(_LISTS!$22:$22))</definedName>
    <definedName name="yesNo">_LISTS!$A$4:$B$4</definedName>
  </definedNames>
  <calcPr calcId="152511" concurrentCalc="0"/>
</workbook>
</file>

<file path=xl/calcChain.xml><?xml version="1.0" encoding="utf-8"?>
<calcChain xmlns="http://schemas.openxmlformats.org/spreadsheetml/2006/main">
  <c r="W3" i="1" l="1" a="1"/>
  <c r="W3" i="1"/>
  <c r="W4" i="1" a="1"/>
  <c r="W4" i="1"/>
  <c r="W5" i="1" a="1"/>
  <c r="W5" i="1"/>
  <c r="W6" i="1" a="1"/>
  <c r="W6" i="1"/>
  <c r="W7" i="1" a="1"/>
  <c r="W7" i="1"/>
  <c r="W8" i="1" a="1"/>
  <c r="W8" i="1"/>
  <c r="W9" i="1" a="1"/>
  <c r="W9" i="1"/>
  <c r="W10" i="1" a="1"/>
  <c r="W10" i="1"/>
  <c r="W11" i="1" a="1"/>
  <c r="W11" i="1"/>
  <c r="W12" i="1" a="1"/>
  <c r="W12" i="1"/>
  <c r="W13" i="1" a="1"/>
  <c r="W13" i="1"/>
  <c r="W14" i="1" a="1"/>
  <c r="W14" i="1"/>
  <c r="W15" i="1" a="1"/>
  <c r="W15" i="1"/>
  <c r="W16" i="1" a="1"/>
  <c r="W16" i="1"/>
  <c r="W17" i="1" a="1"/>
  <c r="W17" i="1"/>
  <c r="W18" i="1" a="1"/>
  <c r="W18" i="1"/>
  <c r="W19" i="1" a="1"/>
  <c r="W19" i="1"/>
  <c r="W20" i="1" a="1"/>
  <c r="W20" i="1"/>
  <c r="W21" i="1" a="1"/>
  <c r="W21" i="1"/>
  <c r="W22" i="1" a="1"/>
  <c r="W22" i="1"/>
  <c r="W23" i="1" a="1"/>
  <c r="W23" i="1"/>
  <c r="W24" i="1" a="1"/>
  <c r="W24" i="1"/>
  <c r="W25" i="1" a="1"/>
  <c r="W25" i="1"/>
  <c r="W26" i="1" a="1"/>
  <c r="W26" i="1"/>
  <c r="W27" i="1" a="1"/>
  <c r="W27" i="1"/>
  <c r="W28" i="1" a="1"/>
  <c r="W28" i="1"/>
  <c r="W29" i="1" a="1"/>
  <c r="W29" i="1"/>
  <c r="W30" i="1" a="1"/>
  <c r="W30" i="1"/>
  <c r="W31" i="1" a="1"/>
  <c r="W31" i="1"/>
  <c r="W32" i="1" a="1"/>
  <c r="W32" i="1"/>
  <c r="W33" i="1" a="1"/>
  <c r="W33" i="1"/>
  <c r="W34" i="1" a="1"/>
  <c r="W34" i="1"/>
  <c r="W35" i="1" a="1"/>
  <c r="W35" i="1"/>
  <c r="W36" i="1" a="1"/>
  <c r="W36" i="1"/>
  <c r="W37" i="1" a="1"/>
  <c r="W37" i="1"/>
  <c r="W38" i="1" a="1"/>
  <c r="W38" i="1"/>
  <c r="W39" i="1" a="1"/>
  <c r="W39" i="1"/>
  <c r="W40" i="1" a="1"/>
  <c r="W40" i="1"/>
  <c r="W41" i="1" a="1"/>
  <c r="W41" i="1"/>
  <c r="W42" i="1" a="1"/>
  <c r="W42" i="1"/>
  <c r="W43" i="1" a="1"/>
  <c r="W43" i="1"/>
  <c r="W44" i="1" a="1"/>
  <c r="W44" i="1"/>
  <c r="W45" i="1" a="1"/>
  <c r="W45" i="1"/>
  <c r="W46" i="1" a="1"/>
  <c r="W46" i="1"/>
  <c r="W47" i="1" a="1"/>
  <c r="W47" i="1"/>
  <c r="W48" i="1" a="1"/>
  <c r="W48" i="1"/>
  <c r="W49" i="1" a="1"/>
  <c r="W49" i="1"/>
  <c r="W50" i="1" a="1"/>
  <c r="W50" i="1"/>
  <c r="W51" i="1" a="1"/>
  <c r="W51" i="1"/>
  <c r="W52" i="1" a="1"/>
  <c r="W52" i="1"/>
  <c r="W53" i="1" a="1"/>
  <c r="W53" i="1"/>
  <c r="W54" i="1" a="1"/>
  <c r="W54" i="1"/>
  <c r="W55" i="1" a="1"/>
  <c r="W55" i="1"/>
  <c r="W56" i="1" a="1"/>
  <c r="W56" i="1"/>
  <c r="W57" i="1" a="1"/>
  <c r="W57" i="1"/>
  <c r="W58" i="1" a="1"/>
  <c r="W58" i="1"/>
  <c r="W59" i="1" a="1"/>
  <c r="W59" i="1"/>
  <c r="W60" i="1" a="1"/>
  <c r="W60" i="1"/>
  <c r="W61" i="1" a="1"/>
  <c r="W61" i="1"/>
  <c r="W62" i="1" a="1"/>
  <c r="W62" i="1"/>
  <c r="W63" i="1" a="1"/>
  <c r="W63" i="1"/>
  <c r="W64" i="1" a="1"/>
  <c r="W64" i="1"/>
  <c r="W65" i="1" a="1"/>
  <c r="W65" i="1"/>
  <c r="W66" i="1" a="1"/>
  <c r="W66" i="1"/>
  <c r="W67" i="1" a="1"/>
  <c r="W67" i="1"/>
  <c r="W68" i="1" a="1"/>
  <c r="W68" i="1"/>
  <c r="W69" i="1" a="1"/>
  <c r="W69" i="1"/>
  <c r="W70" i="1" a="1"/>
  <c r="W70" i="1"/>
  <c r="W71" i="1" a="1"/>
  <c r="W71" i="1"/>
  <c r="W72" i="1" a="1"/>
  <c r="W72" i="1"/>
  <c r="W73" i="1" a="1"/>
  <c r="W73" i="1"/>
  <c r="W74" i="1" a="1"/>
  <c r="W74" i="1"/>
  <c r="W75" i="1" a="1"/>
  <c r="W75" i="1"/>
  <c r="W76" i="1" a="1"/>
  <c r="W76" i="1"/>
  <c r="W77" i="1" a="1"/>
  <c r="W77" i="1"/>
  <c r="W78" i="1" a="1"/>
  <c r="W78" i="1"/>
  <c r="W79" i="1" a="1"/>
  <c r="W79" i="1"/>
  <c r="W80" i="1" a="1"/>
  <c r="W80" i="1"/>
  <c r="W81" i="1" a="1"/>
  <c r="W81" i="1"/>
  <c r="W82" i="1" a="1"/>
  <c r="W82" i="1"/>
  <c r="W83" i="1" a="1"/>
  <c r="W83" i="1"/>
  <c r="W84" i="1" a="1"/>
  <c r="W84" i="1"/>
  <c r="W85" i="1" a="1"/>
  <c r="W85" i="1"/>
  <c r="W86" i="1" a="1"/>
  <c r="W86" i="1"/>
  <c r="W87" i="1" a="1"/>
  <c r="W87" i="1"/>
  <c r="W88" i="1" a="1"/>
  <c r="W88" i="1"/>
  <c r="W89" i="1" a="1"/>
  <c r="W89" i="1"/>
  <c r="W90" i="1" a="1"/>
  <c r="W90" i="1"/>
  <c r="W91" i="1" a="1"/>
  <c r="W91" i="1"/>
  <c r="W92" i="1" a="1"/>
  <c r="W92" i="1"/>
  <c r="W93" i="1" a="1"/>
  <c r="W93" i="1"/>
  <c r="W94" i="1" a="1"/>
  <c r="W94" i="1"/>
  <c r="W95" i="1" a="1"/>
  <c r="W95" i="1"/>
  <c r="W96" i="1" a="1"/>
  <c r="W96" i="1"/>
  <c r="W97" i="1" a="1"/>
  <c r="W97" i="1"/>
  <c r="W98" i="1" a="1"/>
  <c r="W98" i="1"/>
  <c r="W99" i="1" a="1"/>
  <c r="W99" i="1"/>
  <c r="W100" i="1" a="1"/>
  <c r="W100" i="1"/>
  <c r="V94" i="9"/>
  <c r="V95" i="9"/>
  <c r="V96" i="9"/>
  <c r="V97" i="9"/>
  <c r="V98" i="9"/>
  <c r="V100" i="9"/>
  <c r="V99" i="9"/>
  <c r="V93" i="9"/>
  <c r="V92" i="9"/>
  <c r="V91" i="9"/>
  <c r="V90" i="9"/>
  <c r="V89" i="9"/>
  <c r="V88" i="9"/>
  <c r="V87" i="9"/>
  <c r="V86" i="9"/>
  <c r="V85" i="9"/>
  <c r="V84" i="9"/>
  <c r="V83" i="9"/>
  <c r="V82" i="9"/>
  <c r="V81" i="9"/>
  <c r="V80" i="9"/>
  <c r="V79" i="9"/>
  <c r="V78" i="9"/>
  <c r="V77" i="9"/>
  <c r="V76" i="9"/>
  <c r="V75" i="9"/>
  <c r="V74" i="9"/>
  <c r="V73" i="9"/>
  <c r="V72" i="9"/>
  <c r="V71" i="9"/>
  <c r="V70" i="9"/>
  <c r="V69" i="9"/>
  <c r="V68" i="9"/>
  <c r="V67" i="9"/>
  <c r="V66" i="9"/>
  <c r="V65" i="9"/>
  <c r="V64" i="9"/>
  <c r="V63" i="9"/>
  <c r="V62" i="9"/>
  <c r="V61" i="9"/>
  <c r="V60" i="9"/>
  <c r="V59" i="9"/>
  <c r="V58" i="9"/>
  <c r="V57" i="9"/>
  <c r="V56" i="9"/>
  <c r="V55" i="9"/>
  <c r="V54" i="9"/>
  <c r="V53" i="9"/>
  <c r="V52" i="9"/>
  <c r="V51" i="9"/>
  <c r="V50" i="9"/>
  <c r="V49" i="9"/>
  <c r="V48" i="9"/>
  <c r="V47" i="9"/>
  <c r="V46" i="9"/>
  <c r="V45" i="9"/>
  <c r="V44" i="9"/>
  <c r="V43" i="9"/>
  <c r="V42" i="9"/>
  <c r="V41" i="9"/>
  <c r="V40" i="9"/>
  <c r="V39" i="9"/>
  <c r="V38" i="9"/>
  <c r="V37" i="9"/>
  <c r="V36" i="9"/>
  <c r="V35" i="9"/>
  <c r="V34" i="9"/>
  <c r="V33" i="9"/>
  <c r="V32" i="9"/>
  <c r="V31" i="9"/>
  <c r="V30" i="9"/>
  <c r="V29" i="9"/>
  <c r="V28" i="9"/>
  <c r="V27" i="9"/>
  <c r="V26" i="9"/>
  <c r="V25" i="9"/>
  <c r="V24" i="9"/>
  <c r="V23" i="9"/>
  <c r="V22" i="9"/>
  <c r="V21" i="9"/>
  <c r="V20" i="9"/>
  <c r="V19" i="9"/>
  <c r="V18" i="9"/>
  <c r="V17" i="9"/>
  <c r="V16" i="9"/>
  <c r="V15" i="9"/>
  <c r="V14" i="9"/>
  <c r="V13" i="9"/>
  <c r="V12" i="9"/>
  <c r="V11" i="9"/>
  <c r="V10" i="9"/>
  <c r="V9" i="9"/>
  <c r="V8" i="9"/>
  <c r="V7" i="9"/>
  <c r="V6" i="9"/>
  <c r="V5" i="9"/>
  <c r="V4" i="9"/>
  <c r="V3" i="9"/>
  <c r="V2" i="9"/>
  <c r="K100" i="2" a="1"/>
  <c r="K100" i="2"/>
  <c r="K99" i="2" a="1"/>
  <c r="K99" i="2"/>
  <c r="K98" i="2" a="1"/>
  <c r="K98" i="2"/>
  <c r="K97" i="2" a="1"/>
  <c r="K97" i="2"/>
  <c r="K96" i="2" a="1"/>
  <c r="K96" i="2"/>
  <c r="K95" i="2" a="1"/>
  <c r="K95" i="2"/>
  <c r="K94" i="2" a="1"/>
  <c r="K94" i="2"/>
  <c r="K93" i="2" a="1"/>
  <c r="K93" i="2"/>
  <c r="K92" i="2" a="1"/>
  <c r="K92" i="2"/>
  <c r="K91" i="2" a="1"/>
  <c r="K91" i="2"/>
  <c r="K90" i="2" a="1"/>
  <c r="K90" i="2"/>
  <c r="K89" i="2" a="1"/>
  <c r="K89" i="2"/>
  <c r="K88" i="2" a="1"/>
  <c r="K88" i="2"/>
  <c r="K87" i="2" a="1"/>
  <c r="K87" i="2"/>
  <c r="K86" i="2" a="1"/>
  <c r="K86" i="2"/>
  <c r="K85" i="2" a="1"/>
  <c r="K85" i="2"/>
  <c r="K84" i="2" a="1"/>
  <c r="K84" i="2"/>
  <c r="K83" i="2" a="1"/>
  <c r="K83" i="2"/>
  <c r="K82" i="2" a="1"/>
  <c r="K82" i="2"/>
  <c r="K81" i="2" a="1"/>
  <c r="K81" i="2"/>
  <c r="K80" i="2" a="1"/>
  <c r="K80" i="2"/>
  <c r="K79" i="2" a="1"/>
  <c r="K79" i="2"/>
  <c r="K78" i="2" a="1"/>
  <c r="K78" i="2"/>
  <c r="K77" i="2" a="1"/>
  <c r="K77" i="2"/>
  <c r="K76" i="2" a="1"/>
  <c r="K76" i="2"/>
  <c r="K75" i="2" a="1"/>
  <c r="K75" i="2"/>
  <c r="K74" i="2" a="1"/>
  <c r="K74" i="2"/>
  <c r="K73" i="2" a="1"/>
  <c r="K73" i="2"/>
  <c r="K72" i="2" a="1"/>
  <c r="K72" i="2"/>
  <c r="K71" i="2" a="1"/>
  <c r="K71" i="2"/>
  <c r="K70" i="2" a="1"/>
  <c r="K70" i="2"/>
  <c r="K69" i="2" a="1"/>
  <c r="K69" i="2"/>
  <c r="K68" i="2" a="1"/>
  <c r="K68" i="2"/>
  <c r="K67" i="2" a="1"/>
  <c r="K67" i="2"/>
  <c r="K66" i="2" a="1"/>
  <c r="K66" i="2"/>
  <c r="K65" i="2" a="1"/>
  <c r="K65" i="2"/>
  <c r="K64" i="2" a="1"/>
  <c r="K64" i="2"/>
  <c r="K63" i="2" a="1"/>
  <c r="K63" i="2"/>
  <c r="K62" i="2" a="1"/>
  <c r="K62" i="2"/>
  <c r="K61" i="2" a="1"/>
  <c r="K61" i="2"/>
  <c r="K60" i="2" a="1"/>
  <c r="K60" i="2"/>
  <c r="K59" i="2" a="1"/>
  <c r="K59" i="2"/>
  <c r="K58" i="2" a="1"/>
  <c r="K58" i="2"/>
  <c r="K57" i="2" a="1"/>
  <c r="K57" i="2"/>
  <c r="K56" i="2" a="1"/>
  <c r="K56" i="2"/>
  <c r="K55" i="2" a="1"/>
  <c r="K55" i="2"/>
  <c r="K54" i="2" a="1"/>
  <c r="K54" i="2"/>
  <c r="K53" i="2" a="1"/>
  <c r="K53" i="2"/>
  <c r="K52" i="2" a="1"/>
  <c r="K52" i="2"/>
  <c r="K51" i="2" a="1"/>
  <c r="K51" i="2"/>
  <c r="K50" i="2" a="1"/>
  <c r="K50" i="2"/>
  <c r="K49" i="2" a="1"/>
  <c r="K49" i="2"/>
  <c r="K48" i="2" a="1"/>
  <c r="K48" i="2"/>
  <c r="K47" i="2" a="1"/>
  <c r="K47" i="2"/>
  <c r="K46" i="2" a="1"/>
  <c r="K46" i="2"/>
  <c r="K45" i="2" a="1"/>
  <c r="K45" i="2"/>
  <c r="K44" i="2" a="1"/>
  <c r="K44" i="2"/>
  <c r="K43" i="2" a="1"/>
  <c r="K43" i="2"/>
  <c r="K42" i="2" a="1"/>
  <c r="K42" i="2"/>
  <c r="K41" i="2" a="1"/>
  <c r="K41" i="2"/>
  <c r="K40" i="2" a="1"/>
  <c r="K40" i="2"/>
  <c r="K39" i="2" a="1"/>
  <c r="K39" i="2"/>
  <c r="K38" i="2" a="1"/>
  <c r="K38" i="2"/>
  <c r="K37" i="2" a="1"/>
  <c r="K37" i="2"/>
  <c r="K36" i="2" a="1"/>
  <c r="K36" i="2"/>
  <c r="K35" i="2" a="1"/>
  <c r="K35" i="2"/>
  <c r="K34" i="2" a="1"/>
  <c r="K34" i="2"/>
  <c r="K33" i="2" a="1"/>
  <c r="K33" i="2"/>
  <c r="K32" i="2" a="1"/>
  <c r="K32" i="2"/>
  <c r="K31" i="2" a="1"/>
  <c r="K31" i="2"/>
  <c r="K30" i="2" a="1"/>
  <c r="K30" i="2"/>
  <c r="K29" i="2" a="1"/>
  <c r="K29" i="2"/>
  <c r="K28" i="2" a="1"/>
  <c r="K28" i="2"/>
  <c r="K27" i="2" a="1"/>
  <c r="K27" i="2"/>
  <c r="K26" i="2" a="1"/>
  <c r="K26" i="2"/>
  <c r="K25" i="2" a="1"/>
  <c r="K25" i="2"/>
  <c r="K24" i="2" a="1"/>
  <c r="K24" i="2"/>
  <c r="K23" i="2" a="1"/>
  <c r="K23" i="2"/>
  <c r="K22" i="2" a="1"/>
  <c r="K22" i="2"/>
  <c r="K21" i="2" a="1"/>
  <c r="K21" i="2"/>
  <c r="K20" i="2" a="1"/>
  <c r="K20" i="2"/>
  <c r="K19" i="2" a="1"/>
  <c r="K19" i="2"/>
  <c r="K18" i="2" a="1"/>
  <c r="K18" i="2"/>
  <c r="K17" i="2" a="1"/>
  <c r="K17" i="2"/>
  <c r="K16" i="2" a="1"/>
  <c r="K16" i="2"/>
  <c r="K15" i="2" a="1"/>
  <c r="K15" i="2"/>
  <c r="K14" i="2" a="1"/>
  <c r="K14" i="2"/>
  <c r="K13" i="2" a="1"/>
  <c r="K13" i="2"/>
  <c r="K12" i="2" a="1"/>
  <c r="K12" i="2"/>
  <c r="K11" i="2" a="1"/>
  <c r="K11" i="2"/>
  <c r="K10" i="2" a="1"/>
  <c r="K10" i="2"/>
  <c r="K9" i="2" a="1"/>
  <c r="K9" i="2"/>
  <c r="K8" i="2" a="1"/>
  <c r="K8" i="2"/>
  <c r="K7" i="2" a="1"/>
  <c r="K7" i="2"/>
  <c r="K6" i="2" a="1"/>
  <c r="K6" i="2"/>
  <c r="K5" i="2" a="1"/>
  <c r="K5" i="2"/>
  <c r="K4" i="2" a="1"/>
  <c r="K4" i="2"/>
  <c r="K3" i="2" a="1"/>
  <c r="K3" i="2"/>
  <c r="K2" i="2" a="1"/>
  <c r="K2" i="2"/>
  <c r="W2" i="1" a="1"/>
  <c r="W2" i="1"/>
</calcChain>
</file>

<file path=xl/sharedStrings.xml><?xml version="1.0" encoding="utf-8"?>
<sst xmlns="http://schemas.openxmlformats.org/spreadsheetml/2006/main" count="992" uniqueCount="803">
  <si>
    <t>Title *</t>
  </si>
  <si>
    <t>Volume</t>
  </si>
  <si>
    <t>DOI</t>
  </si>
  <si>
    <t>Family *</t>
  </si>
  <si>
    <t>Local name</t>
  </si>
  <si>
    <t>Continent</t>
  </si>
  <si>
    <t>Country *</t>
  </si>
  <si>
    <t>India</t>
  </si>
  <si>
    <t>Africa</t>
  </si>
  <si>
    <t>NO</t>
  </si>
  <si>
    <t>Animal</t>
  </si>
  <si>
    <t>Cell line</t>
  </si>
  <si>
    <t>Contraints values for :</t>
  </si>
  <si>
    <t>Author(s) *</t>
  </si>
  <si>
    <t>Year *</t>
  </si>
  <si>
    <t>Entry Type *</t>
  </si>
  <si>
    <t>Journal</t>
  </si>
  <si>
    <t>Institution</t>
  </si>
  <si>
    <t>Publisher</t>
  </si>
  <si>
    <t>PMID</t>
  </si>
  <si>
    <t>ISBN</t>
  </si>
  <si>
    <t>Species *</t>
  </si>
  <si>
    <t>Yes/No</t>
  </si>
  <si>
    <t>Herbarium voucher *</t>
  </si>
  <si>
    <t>Herbarium</t>
  </si>
  <si>
    <t>Number</t>
  </si>
  <si>
    <t>Month</t>
  </si>
  <si>
    <t>Edition</t>
  </si>
  <si>
    <t>URL</t>
  </si>
  <si>
    <t>JAN</t>
  </si>
  <si>
    <t>FEB</t>
  </si>
  <si>
    <t>MAR</t>
  </si>
  <si>
    <t>APR</t>
  </si>
  <si>
    <t>MAY</t>
  </si>
  <si>
    <t>JUN</t>
  </si>
  <si>
    <t>JUL</t>
  </si>
  <si>
    <t>AUG</t>
  </si>
  <si>
    <t>SEP</t>
  </si>
  <si>
    <t>OCT</t>
  </si>
  <si>
    <t>NOV</t>
  </si>
  <si>
    <t>DEC</t>
  </si>
  <si>
    <t>Zimbabwe</t>
  </si>
  <si>
    <t>Zambia</t>
  </si>
  <si>
    <t>South Africa</t>
  </si>
  <si>
    <t>Mayotte</t>
  </si>
  <si>
    <t>Yemen</t>
  </si>
  <si>
    <t>Samoa</t>
  </si>
  <si>
    <t>Wallis and Futuna Islands</t>
  </si>
  <si>
    <t>Vanuatu</t>
  </si>
  <si>
    <t>Vietnam</t>
  </si>
  <si>
    <t>Virgin Islands (U.S.)</t>
  </si>
  <si>
    <t>Virgin Islands (British)</t>
  </si>
  <si>
    <t>Venezuela</t>
  </si>
  <si>
    <t>Saint Vincent and the Grenadines</t>
  </si>
  <si>
    <t>Vatican</t>
  </si>
  <si>
    <t>Uzbekistan</t>
  </si>
  <si>
    <t>Uruguay</t>
  </si>
  <si>
    <t>United States</t>
  </si>
  <si>
    <t>United States Minor Outlying Islands</t>
  </si>
  <si>
    <t>Uganda</t>
  </si>
  <si>
    <t>Ukraine</t>
  </si>
  <si>
    <t>Tanzania</t>
  </si>
  <si>
    <t>Taiwan</t>
  </si>
  <si>
    <t>Tuvalu</t>
  </si>
  <si>
    <t>Trinidad and Tobago</t>
  </si>
  <si>
    <t>Turkey</t>
  </si>
  <si>
    <t>Tonga</t>
  </si>
  <si>
    <t>Tunisia</t>
  </si>
  <si>
    <t>Turkmenistan</t>
  </si>
  <si>
    <t>Timor-Leste</t>
  </si>
  <si>
    <t>Tokelau</t>
  </si>
  <si>
    <t>Tajikistan</t>
  </si>
  <si>
    <t>Thailand</t>
  </si>
  <si>
    <t>Togo</t>
  </si>
  <si>
    <t>French Southern Territories</t>
  </si>
  <si>
    <t>Chad</t>
  </si>
  <si>
    <t>Turks and Caicos Islands</t>
  </si>
  <si>
    <t>Swaziland</t>
  </si>
  <si>
    <t>Syria</t>
  </si>
  <si>
    <t>Sint Maarten (Dutch part)</t>
  </si>
  <si>
    <t>El Salvador</t>
  </si>
  <si>
    <t>Sao Tome and Principe</t>
  </si>
  <si>
    <t>South Sudan</t>
  </si>
  <si>
    <t>Suriname</t>
  </si>
  <si>
    <t>Somalia</t>
  </si>
  <si>
    <t>Senegal</t>
  </si>
  <si>
    <t>San Marino</t>
  </si>
  <si>
    <t>Sierra Leone</t>
  </si>
  <si>
    <t>Slovakia</t>
  </si>
  <si>
    <t>Svalbard and Jan Mayen Islands</t>
  </si>
  <si>
    <t>Slovenia</t>
  </si>
  <si>
    <t>Saint Helena</t>
  </si>
  <si>
    <t>Singapore</t>
  </si>
  <si>
    <t>Sweden</t>
  </si>
  <si>
    <t>Sudan</t>
  </si>
  <si>
    <t>Seychelles</t>
  </si>
  <si>
    <t>Solomon Islands</t>
  </si>
  <si>
    <t>Saudi Arabia</t>
  </si>
  <si>
    <t>Rwanda</t>
  </si>
  <si>
    <t>Russian Federation</t>
  </si>
  <si>
    <t>Serbia</t>
  </si>
  <si>
    <t>Romania</t>
  </si>
  <si>
    <t>Réunion</t>
  </si>
  <si>
    <t>Qatar</t>
  </si>
  <si>
    <t>Paraguay</t>
  </si>
  <si>
    <t>Palau</t>
  </si>
  <si>
    <t>Portugal</t>
  </si>
  <si>
    <t>Palestine, State of</t>
  </si>
  <si>
    <t>Puerto Rico</t>
  </si>
  <si>
    <t>Pitcairn</t>
  </si>
  <si>
    <t>St. Pierre and Miquelon</t>
  </si>
  <si>
    <t>Poland</t>
  </si>
  <si>
    <t>Pakistan</t>
  </si>
  <si>
    <t>Philippines</t>
  </si>
  <si>
    <t>Papua New Guinea</t>
  </si>
  <si>
    <t>French Polynesia</t>
  </si>
  <si>
    <t>Peru</t>
  </si>
  <si>
    <t>Panama</t>
  </si>
  <si>
    <t>Oman</t>
  </si>
  <si>
    <t>New Zealand</t>
  </si>
  <si>
    <t>Niue</t>
  </si>
  <si>
    <t>Nauru</t>
  </si>
  <si>
    <t>Nepal</t>
  </si>
  <si>
    <t>Norway</t>
  </si>
  <si>
    <t>The Netherlands</t>
  </si>
  <si>
    <t>Nicaragua</t>
  </si>
  <si>
    <t>Nigeria</t>
  </si>
  <si>
    <t>Norfolk Island</t>
  </si>
  <si>
    <t>Niger</t>
  </si>
  <si>
    <t>New Caledonia</t>
  </si>
  <si>
    <t>Namibia</t>
  </si>
  <si>
    <t>Mozambique</t>
  </si>
  <si>
    <t>Malaysia</t>
  </si>
  <si>
    <t>Mexico</t>
  </si>
  <si>
    <t>Malawi</t>
  </si>
  <si>
    <t>Maldives</t>
  </si>
  <si>
    <t>Mauritius</t>
  </si>
  <si>
    <t>Malta</t>
  </si>
  <si>
    <t>Montserrat</t>
  </si>
  <si>
    <t>Mauritania</t>
  </si>
  <si>
    <t>Martinique</t>
  </si>
  <si>
    <t>Northern Mariana Islands</t>
  </si>
  <si>
    <t>Macau</t>
  </si>
  <si>
    <t>Mongolia</t>
  </si>
  <si>
    <t>Myanmar</t>
  </si>
  <si>
    <t>Mali</t>
  </si>
  <si>
    <t>Macedonia</t>
  </si>
  <si>
    <t>Marshall Islands</t>
  </si>
  <si>
    <t>Madagascar</t>
  </si>
  <si>
    <t>Saint-Martin (France)</t>
  </si>
  <si>
    <t>Montenegro</t>
  </si>
  <si>
    <t>Moldova</t>
  </si>
  <si>
    <t>Monaco</t>
  </si>
  <si>
    <t>Morocco</t>
  </si>
  <si>
    <t>Libya</t>
  </si>
  <si>
    <t>Latvia</t>
  </si>
  <si>
    <t>Luxembourg</t>
  </si>
  <si>
    <t>Lithuania</t>
  </si>
  <si>
    <t>Lesotho</t>
  </si>
  <si>
    <t>Liberia</t>
  </si>
  <si>
    <t>Sri Lanka</t>
  </si>
  <si>
    <t>Liechtenstein</t>
  </si>
  <si>
    <t>Saint Lucia</t>
  </si>
  <si>
    <t>Lebanon</t>
  </si>
  <si>
    <t>Lao People's Democratic Republic</t>
  </si>
  <si>
    <t>Kazakhstan</t>
  </si>
  <si>
    <t>Cayman Islands</t>
  </si>
  <si>
    <t>Kuwait</t>
  </si>
  <si>
    <t>South Korea</t>
  </si>
  <si>
    <t>North Korea</t>
  </si>
  <si>
    <t>Saint Kitts and Nevis</t>
  </si>
  <si>
    <t>Comoros</t>
  </si>
  <si>
    <t>Kiribati</t>
  </si>
  <si>
    <t>Cambodia</t>
  </si>
  <si>
    <t>Kyrgyzstan</t>
  </si>
  <si>
    <t>Kenya</t>
  </si>
  <si>
    <t>Japan</t>
  </si>
  <si>
    <t>Jordan</t>
  </si>
  <si>
    <t>Jamaica</t>
  </si>
  <si>
    <t>Jersey</t>
  </si>
  <si>
    <t>Italy</t>
  </si>
  <si>
    <t>Iceland</t>
  </si>
  <si>
    <t>Iran</t>
  </si>
  <si>
    <t>Iraq</t>
  </si>
  <si>
    <t>British Indian Ocean Territory</t>
  </si>
  <si>
    <t>Isle of Man</t>
  </si>
  <si>
    <t>Israel</t>
  </si>
  <si>
    <t>Ireland</t>
  </si>
  <si>
    <t>Indonesia</t>
  </si>
  <si>
    <t>Hungary</t>
  </si>
  <si>
    <t>Haiti</t>
  </si>
  <si>
    <t>Croatia</t>
  </si>
  <si>
    <t>Honduras</t>
  </si>
  <si>
    <t>Heard and McDonald Islands</t>
  </si>
  <si>
    <t>Hong Kong</t>
  </si>
  <si>
    <t>Guyana</t>
  </si>
  <si>
    <t>Guinea-Bissau</t>
  </si>
  <si>
    <t>Guam</t>
  </si>
  <si>
    <t>Guatemala</t>
  </si>
  <si>
    <t>South Georgia and the South Sandwich Islands</t>
  </si>
  <si>
    <t>Greece</t>
  </si>
  <si>
    <t>Equatorial Guinea</t>
  </si>
  <si>
    <t>Guadeloupe</t>
  </si>
  <si>
    <t>Guinea</t>
  </si>
  <si>
    <t>Gambia</t>
  </si>
  <si>
    <t>Greenland</t>
  </si>
  <si>
    <t>Gibraltar</t>
  </si>
  <si>
    <t>Ghana</t>
  </si>
  <si>
    <t>Guernsey</t>
  </si>
  <si>
    <t>French Guiana</t>
  </si>
  <si>
    <t>Georgia</t>
  </si>
  <si>
    <t>Grenada</t>
  </si>
  <si>
    <t>United Kingdom</t>
  </si>
  <si>
    <t>Gabon</t>
  </si>
  <si>
    <t>France</t>
  </si>
  <si>
    <t>Faroe Islands</t>
  </si>
  <si>
    <t>Micronesia, Federated States of</t>
  </si>
  <si>
    <t>Falkland Islands</t>
  </si>
  <si>
    <t>Fiji</t>
  </si>
  <si>
    <t>Finland</t>
  </si>
  <si>
    <t>Ethiopia</t>
  </si>
  <si>
    <t>Spain</t>
  </si>
  <si>
    <t>Eritrea</t>
  </si>
  <si>
    <t>Western Sahara</t>
  </si>
  <si>
    <t>Egypt</t>
  </si>
  <si>
    <t>Estonia</t>
  </si>
  <si>
    <t>Ecuador</t>
  </si>
  <si>
    <t>Algeria</t>
  </si>
  <si>
    <t>Dominican Republic</t>
  </si>
  <si>
    <t>Dominica</t>
  </si>
  <si>
    <t>Denmark</t>
  </si>
  <si>
    <t>Djibouti</t>
  </si>
  <si>
    <t>Germany</t>
  </si>
  <si>
    <t>Czech Republic</t>
  </si>
  <si>
    <t>Cyprus</t>
  </si>
  <si>
    <t>Christmas Island</t>
  </si>
  <si>
    <t>Curaçao</t>
  </si>
  <si>
    <t>Cape Verde</t>
  </si>
  <si>
    <t>Cuba</t>
  </si>
  <si>
    <t>Costa Rica</t>
  </si>
  <si>
    <t>Colombia</t>
  </si>
  <si>
    <t>China</t>
  </si>
  <si>
    <t>Cameroon</t>
  </si>
  <si>
    <t>Chile</t>
  </si>
  <si>
    <t>Cook Islands</t>
  </si>
  <si>
    <t>Côte d'Ivoire</t>
  </si>
  <si>
    <t>Switzerland</t>
  </si>
  <si>
    <t>Congo</t>
  </si>
  <si>
    <t>Central African Republic</t>
  </si>
  <si>
    <t>Congo, Democratic Republic of</t>
  </si>
  <si>
    <t>Cocos (Keeling) Islands</t>
  </si>
  <si>
    <t>Canada</t>
  </si>
  <si>
    <t>Belize</t>
  </si>
  <si>
    <t>Belarus</t>
  </si>
  <si>
    <t>Botswana</t>
  </si>
  <si>
    <t>Bouvet Island</t>
  </si>
  <si>
    <t>Bhutan</t>
  </si>
  <si>
    <t>Bahamas</t>
  </si>
  <si>
    <t>Brazil</t>
  </si>
  <si>
    <t xml:space="preserve">Caribbean Netherlands </t>
  </si>
  <si>
    <t>Bolivia</t>
  </si>
  <si>
    <t>Brunei Darussalam</t>
  </si>
  <si>
    <t>Bermuda</t>
  </si>
  <si>
    <t>Saint Barthélemy</t>
  </si>
  <si>
    <t>Benin</t>
  </si>
  <si>
    <t>Burundi</t>
  </si>
  <si>
    <t>Bahrain</t>
  </si>
  <si>
    <t>Bulgaria</t>
  </si>
  <si>
    <t>Burkina Faso</t>
  </si>
  <si>
    <t>Belgium</t>
  </si>
  <si>
    <t>Bangladesh</t>
  </si>
  <si>
    <t>Barbados</t>
  </si>
  <si>
    <t>Bosnia and Herzegovina</t>
  </si>
  <si>
    <t>Azerbaijan</t>
  </si>
  <si>
    <t>Åland Islands</t>
  </si>
  <si>
    <t>Aruba</t>
  </si>
  <si>
    <t>Australia</t>
  </si>
  <si>
    <t>Austria</t>
  </si>
  <si>
    <t>American Samoa</t>
  </si>
  <si>
    <t>Argentina</t>
  </si>
  <si>
    <t>Antarctica</t>
  </si>
  <si>
    <t>Angola</t>
  </si>
  <si>
    <t>Armenia</t>
  </si>
  <si>
    <t>Albania</t>
  </si>
  <si>
    <t>Anguilla</t>
  </si>
  <si>
    <t>Antigua and Barbuda</t>
  </si>
  <si>
    <t>Afghanistan</t>
  </si>
  <si>
    <t>United Arab Emirates</t>
  </si>
  <si>
    <t>Andorra</t>
  </si>
  <si>
    <t xml:space="preserve">AF </t>
  </si>
  <si>
    <t>Asia</t>
  </si>
  <si>
    <t>Europe</t>
  </si>
  <si>
    <t>North america</t>
  </si>
  <si>
    <t>Oceania</t>
  </si>
  <si>
    <t>South america</t>
  </si>
  <si>
    <t>AN</t>
  </si>
  <si>
    <t>AS</t>
  </si>
  <si>
    <t>EU</t>
  </si>
  <si>
    <t>NA</t>
  </si>
  <si>
    <t>OC</t>
  </si>
  <si>
    <t>SA</t>
  </si>
  <si>
    <t>Continent List (2 letters-code and complete name)</t>
  </si>
  <si>
    <t>AD</t>
  </si>
  <si>
    <t>AE</t>
  </si>
  <si>
    <t>AF</t>
  </si>
  <si>
    <t>AG</t>
  </si>
  <si>
    <t>AI</t>
  </si>
  <si>
    <t>AL</t>
  </si>
  <si>
    <t>AM</t>
  </si>
  <si>
    <t>AO</t>
  </si>
  <si>
    <t>AQ</t>
  </si>
  <si>
    <t>AR</t>
  </si>
  <si>
    <t>AT</t>
  </si>
  <si>
    <t>AU</t>
  </si>
  <si>
    <t>AW</t>
  </si>
  <si>
    <t>AX</t>
  </si>
  <si>
    <t>AZ</t>
  </si>
  <si>
    <t>BA</t>
  </si>
  <si>
    <t>BB</t>
  </si>
  <si>
    <t>BD</t>
  </si>
  <si>
    <t>BE</t>
  </si>
  <si>
    <t>BF</t>
  </si>
  <si>
    <t>BG</t>
  </si>
  <si>
    <t>BH</t>
  </si>
  <si>
    <t>BI</t>
  </si>
  <si>
    <t>BJ</t>
  </si>
  <si>
    <t>BL</t>
  </si>
  <si>
    <t>BM</t>
  </si>
  <si>
    <t>BN</t>
  </si>
  <si>
    <t>BO</t>
  </si>
  <si>
    <t>BR</t>
  </si>
  <si>
    <t>BS</t>
  </si>
  <si>
    <t>BT</t>
  </si>
  <si>
    <t>BV</t>
  </si>
  <si>
    <t>BW</t>
  </si>
  <si>
    <t>BY</t>
  </si>
  <si>
    <t>BZ</t>
  </si>
  <si>
    <t>CA</t>
  </si>
  <si>
    <t>CC</t>
  </si>
  <si>
    <t>CD</t>
  </si>
  <si>
    <t>CF</t>
  </si>
  <si>
    <t>CG</t>
  </si>
  <si>
    <t>CH</t>
  </si>
  <si>
    <t>CI</t>
  </si>
  <si>
    <t>CK</t>
  </si>
  <si>
    <t>CL</t>
  </si>
  <si>
    <t>CM</t>
  </si>
  <si>
    <t>CN</t>
  </si>
  <si>
    <t>CO</t>
  </si>
  <si>
    <t>CR</t>
  </si>
  <si>
    <t>CU</t>
  </si>
  <si>
    <t>CV</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</si>
  <si>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</si>
  <si>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</si>
  <si>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</si>
  <si>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</si>
  <si>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</si>
  <si>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</si>
  <si>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</si>
  <si>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</si>
  <si>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</si>
  <si>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</si>
  <si>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</si>
  <si>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</si>
  <si>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</si>
  <si>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</si>
  <si>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</si>
  <si>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</si>
  <si>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</si>
  <si>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</si>
  <si>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</si>
  <si>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</si>
  <si>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</si>
  <si>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</si>
  <si>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</si>
  <si>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</si>
  <si>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</si>
  <si>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</si>
  <si>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</si>
  <si>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</si>
  <si>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</si>
  <si>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</si>
  <si>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</si>
  <si>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</si>
  <si>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</si>
  <si>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</si>
  <si>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</si>
  <si>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</si>
  <si>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</si>
  <si>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</si>
  <si>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</si>
  <si>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</si>
  <si>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</si>
  <si>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</si>
  <si>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</si>
  <si>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</si>
  <si>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</si>
  <si>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</si>
  <si>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</si>
  <si>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ID</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</si>
  <si>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</si>
  <si>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</si>
  <si>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</si>
  <si>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</si>
  <si>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</si>
  <si>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</si>
  <si>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</si>
  <si>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</si>
  <si>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</si>
  <si>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</si>
  <si>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</si>
  <si>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</si>
  <si>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</si>
  <si>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</si>
  <si>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</si>
  <si>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</si>
  <si>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</si>
  <si>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</si>
  <si>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</si>
  <si>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</si>
  <si>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</si>
  <si>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</si>
  <si>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</si>
  <si>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</si>
  <si>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</si>
  <si>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</si>
  <si>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</si>
  <si>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</si>
  <si>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</si>
  <si>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</si>
  <si>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</si>
  <si>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</si>
  <si>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</si>
  <si>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</si>
  <si>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</si>
  <si>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</si>
  <si>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</si>
  <si>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</si>
  <si>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</si>
  <si>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</si>
  <si>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</si>
  <si>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</si>
  <si>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</si>
  <si>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</si>
  <si>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</si>
  <si>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</si>
  <si>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</si>
  <si>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</si>
  <si>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</si>
  <si>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</si>
  <si>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</si>
  <si>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</si>
  <si>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</si>
  <si>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</si>
  <si>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</si>
  <si>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</si>
  <si>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</si>
  <si>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</si>
  <si>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NC</t>
  </si>
  <si>
    <t>NE</t>
  </si>
  <si>
    <t>NF</t>
  </si>
  <si>
    <t>NG</t>
  </si>
  <si>
    <t>NI</t>
  </si>
  <si>
    <t>NL</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</si>
  <si>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</si>
  <si>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</si>
  <si>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</si>
  <si>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</si>
  <si>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</si>
  <si>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</si>
  <si>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</si>
  <si>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</si>
  <si>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</si>
  <si>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</si>
  <si>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</si>
  <si>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</si>
  <si>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</si>
  <si>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</si>
  <si>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</si>
  <si>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</si>
  <si>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</si>
  <si>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</si>
  <si>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</si>
  <si>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</si>
  <si>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</si>
  <si>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</si>
  <si>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</si>
  <si>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</si>
  <si>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</si>
  <si>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SB</t>
  </si>
  <si>
    <t>SC</t>
  </si>
  <si>
    <t>SD</t>
  </si>
  <si>
    <t>SE</t>
  </si>
  <si>
    <t>SG</t>
  </si>
  <si>
    <t>SH</t>
  </si>
  <si>
    <t>SI</t>
  </si>
  <si>
    <t>SJ</t>
  </si>
  <si>
    <t>SK</t>
  </si>
  <si>
    <t>SL</t>
  </si>
  <si>
    <t>SM</t>
  </si>
  <si>
    <t>SN</t>
  </si>
  <si>
    <t>SO</t>
  </si>
  <si>
    <t>SR</t>
  </si>
  <si>
    <t>ST</t>
  </si>
  <si>
    <t>SV</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</si>
  <si>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</si>
  <si>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</si>
  <si>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</si>
  <si>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</si>
  <si>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</si>
  <si>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</si>
  <si>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</si>
  <si>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</si>
  <si>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</si>
  <si>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</si>
  <si>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</si>
  <si>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</si>
  <si>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</si>
  <si>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</si>
  <si>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</si>
  <si>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</si>
  <si>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</si>
  <si>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</si>
  <si>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</si>
  <si>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</si>
  <si>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</si>
  <si>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</si>
  <si>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</si>
  <si>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</si>
  <si>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</si>
  <si>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</si>
  <si>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</si>
  <si>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</si>
  <si>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</si>
  <si>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</si>
  <si>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</si>
  <si>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</si>
  <si>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</si>
  <si>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</si>
  <si>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</si>
  <si>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</si>
  <si>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</si>
  <si>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</si>
  <si>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BQ</t>
  </si>
  <si>
    <t>CW</t>
  </si>
  <si>
    <t>SS</t>
  </si>
  <si>
    <t>SX</t>
  </si>
  <si>
    <t>Country List, ISO 3166 (2 letters-code and complete name)</t>
  </si>
  <si>
    <t>Ethnopharmacological relevancy *</t>
  </si>
  <si>
    <t xml:space="preserve">Traditional recipe *
</t>
  </si>
  <si>
    <t>Traditional recipe details</t>
  </si>
  <si>
    <t>1 - PUBLI / Entry Type</t>
  </si>
  <si>
    <t>1 - PUBLI / Month</t>
  </si>
  <si>
    <t>Preparation mode in traditional recipe</t>
  </si>
  <si>
    <t>LD50 (mg/kg)</t>
  </si>
  <si>
    <t>2 – SPECIES</t>
  </si>
  <si>
    <t>DON'T MODIFY THE CELL COORDINATES ! EACH LIST IS DEFINE ON A LINE. YOU CAN MODIFY THE LABELS OR ADD OTHER VALUES IF YOU KNOW THE CONSEQUENCES</t>
  </si>
  <si>
    <t>Page</t>
  </si>
  <si>
    <t>Nb of volumes</t>
  </si>
  <si>
    <t>Toxicity *</t>
  </si>
  <si>
    <t>Dose for selected result (mg/kg)</t>
  </si>
  <si>
    <t>Inhibition for selected result (%)</t>
  </si>
  <si>
    <t>Survival time for selected result (days)</t>
  </si>
  <si>
    <t>ED50 for selected result (mg/kg)</t>
  </si>
  <si>
    <t>Book title</t>
  </si>
  <si>
    <t>IC50 for selected result (μg/ml)</t>
  </si>
  <si>
    <t>Concentration for selected result (μg/ml)</t>
  </si>
  <si>
    <t>Compound name</t>
  </si>
  <si>
    <t>University</t>
  </si>
  <si>
    <t>Reviewed by compiler(s) *</t>
  </si>
  <si>
    <t>Compiler(s) name(s) *</t>
  </si>
  <si>
    <t>Note from compiler(s)</t>
  </si>
  <si>
    <t>Administration route in traditional recipe</t>
  </si>
  <si>
    <t>TC50 (μg/ml)</t>
  </si>
  <si>
    <t>Treatment type *</t>
  </si>
  <si>
    <t>Measure method</t>
  </si>
  <si>
    <t>Parasite details</t>
  </si>
  <si>
    <t>4 - IN VIVO PHARMACO / Screening name</t>
  </si>
  <si>
    <t>5 - IN VITRO PHARMACO / Screening name</t>
  </si>
  <si>
    <t>Tested entity *</t>
  </si>
  <si>
    <t>Parasite *</t>
  </si>
  <si>
    <t>Screening test *</t>
  </si>
  <si>
    <t>Treatment route</t>
  </si>
  <si>
    <t xml:space="preserve">Compound name </t>
  </si>
  <si>
    <t xml:space="preserve">4 - IN VIVO PHARMACO &amp; 5 - IN VITRO PHARMACO / Tested entity </t>
  </si>
  <si>
    <t>5 - IN VITRO PHARMACO / Mesure method</t>
  </si>
  <si>
    <t>Plant ingredient(s) used *</t>
  </si>
  <si>
    <t>Plant ingredient #1 (species) *</t>
  </si>
  <si>
    <t>Plant ingredient #1 (part used) *</t>
  </si>
  <si>
    <t>Plant ingredient #2 (species)</t>
  </si>
  <si>
    <t>4 - ETHNO / Treatment type</t>
  </si>
  <si>
    <t>3 - INGREDIENTS / Ingredient #X (plant part used)</t>
  </si>
  <si>
    <t>Plant ingredient #3 (species)</t>
  </si>
  <si>
    <t>Plant ingredient #4 (species)</t>
  </si>
  <si>
    <t>Plant ingredient #5 (species)</t>
  </si>
  <si>
    <t>Plant ingredient #6 (species)</t>
  </si>
  <si>
    <t>Plant ingredient #7 (species)</t>
  </si>
  <si>
    <t>Plant ingredient #8 (species)</t>
  </si>
  <si>
    <t>Plant ingredient #10 (species)</t>
  </si>
  <si>
    <t>Ingredients</t>
  </si>
  <si>
    <t>Plant ingredient #9 (species)</t>
  </si>
  <si>
    <t>Plant ingredient #2 (part used)</t>
  </si>
  <si>
    <t>Plant ingredient #3 (part used)</t>
  </si>
  <si>
    <t>Plant ingredient #4 (part used)</t>
  </si>
  <si>
    <t>Plant ingredient #5 (part used)</t>
  </si>
  <si>
    <t>Plant ingredient #6 (part used)</t>
  </si>
  <si>
    <t>Plant ingredient #7 (part used)</t>
  </si>
  <si>
    <t>Plant ingredient #8 (part used)</t>
  </si>
  <si>
    <t>Plant ingredient #9 (part used)</t>
  </si>
  <si>
    <t>Plant ingredient #10 (part used)</t>
  </si>
  <si>
    <t>Experimental observations from compiler(s)</t>
  </si>
  <si>
    <t>4 - ETHNO / Preparation mode</t>
  </si>
  <si>
    <t>4 - ETHNO / Adminitration route</t>
  </si>
  <si>
    <t>Plant ingredient(s) tested *</t>
  </si>
  <si>
    <t xml:space="preserve">Additive product </t>
  </si>
  <si>
    <t>Extraction solvent</t>
  </si>
  <si>
    <t>Survival percent for selected result (%)</t>
  </si>
  <si>
    <t>Reference for ethnopharmacological relevancy</t>
  </si>
  <si>
    <t>Collection site</t>
  </si>
  <si>
    <t>Species name in publication *</t>
  </si>
  <si>
    <t>Publication (title) *</t>
  </si>
  <si>
    <t>4 - IN VIVO PHARMACO / Treatment route</t>
  </si>
  <si>
    <t>4 - IN VIVO PHARMACO &amp; 5 - IN VITRO PHARMACO / Extraction solvent</t>
  </si>
  <si>
    <t>Book</t>
  </si>
  <si>
    <t>Chapter</t>
  </si>
  <si>
    <t>Peters</t>
  </si>
  <si>
    <t>Rane test</t>
  </si>
  <si>
    <t>Repository</t>
  </si>
  <si>
    <t>Liver stage</t>
  </si>
  <si>
    <t>Gametocyte</t>
  </si>
  <si>
    <t xml:space="preserve"> Sporozoite</t>
  </si>
  <si>
    <t>Other</t>
  </si>
  <si>
    <t>Erythrocyt</t>
  </si>
  <si>
    <t>Liver Stage</t>
  </si>
  <si>
    <t>Oral</t>
  </si>
  <si>
    <t>Intra-peritoneal</t>
  </si>
  <si>
    <t>Intra-intravenous</t>
  </si>
  <si>
    <t>Topic</t>
  </si>
  <si>
    <t>Journal article</t>
  </si>
  <si>
    <t>Masters thesis</t>
  </si>
  <si>
    <t>Phd thesis</t>
  </si>
  <si>
    <t>Tech report</t>
  </si>
  <si>
    <t>Aerial part</t>
  </si>
  <si>
    <t>Aerial part with flower</t>
  </si>
  <si>
    <t>Aerial part with fruit</t>
  </si>
  <si>
    <t>Bark</t>
  </si>
  <si>
    <t>Bulb</t>
  </si>
  <si>
    <t>Essential oil</t>
  </si>
  <si>
    <t>Exsudate</t>
  </si>
  <si>
    <t>Flower</t>
  </si>
  <si>
    <t>Flower bud</t>
  </si>
  <si>
    <t>Fruit</t>
  </si>
  <si>
    <t>Heart wood</t>
  </si>
  <si>
    <t>Inner bark</t>
  </si>
  <si>
    <t>Latex</t>
  </si>
  <si>
    <t>Leaf</t>
  </si>
  <si>
    <t>Leaf bud</t>
  </si>
  <si>
    <t>Leaf petiole</t>
  </si>
  <si>
    <t>Petal</t>
  </si>
  <si>
    <t>Rhizom</t>
  </si>
  <si>
    <t>Root</t>
  </si>
  <si>
    <t>Root bark</t>
  </si>
  <si>
    <t>Sap</t>
  </si>
  <si>
    <t>Seed</t>
  </si>
  <si>
    <t>Stem</t>
  </si>
  <si>
    <t>Stem and leaf</t>
  </si>
  <si>
    <t>Stem bark</t>
  </si>
  <si>
    <t>Tendril</t>
  </si>
  <si>
    <t>Whole plant</t>
  </si>
  <si>
    <t>Radioactive</t>
  </si>
  <si>
    <t>Enzymatic</t>
  </si>
  <si>
    <t>Fluorometric</t>
  </si>
  <si>
    <t>Optic</t>
  </si>
  <si>
    <t>Extract</t>
  </si>
  <si>
    <t>Fraction</t>
  </si>
  <si>
    <t>Compound</t>
  </si>
  <si>
    <t>Ethyl acetate</t>
  </si>
  <si>
    <t>Dicloromethane</t>
  </si>
  <si>
    <t>Ethanol</t>
  </si>
  <si>
    <t>Water</t>
  </si>
  <si>
    <t>Methanol</t>
  </si>
  <si>
    <t>Petroleum ether</t>
  </si>
  <si>
    <t>Cyclohexane</t>
  </si>
  <si>
    <t>Hexane</t>
  </si>
  <si>
    <t>Preventive</t>
  </si>
  <si>
    <t>Curative</t>
  </si>
  <si>
    <t>Not defined</t>
  </si>
  <si>
    <t>Crude</t>
  </si>
  <si>
    <t>Crushed/mashed in a paste</t>
  </si>
  <si>
    <t>Grind to powder</t>
  </si>
  <si>
    <t>Decotion</t>
  </si>
  <si>
    <t>Infusion</t>
  </si>
  <si>
    <t>Maceration</t>
  </si>
  <si>
    <t>Squeeze juice</t>
  </si>
  <si>
    <t>Sporozoite</t>
  </si>
  <si>
    <t>Bath</t>
  </si>
  <si>
    <t>Ear instillation</t>
  </si>
  <si>
    <t>Enema</t>
  </si>
  <si>
    <t>Eye instillation</t>
  </si>
  <si>
    <t>Inhalation</t>
  </si>
  <si>
    <t>Nose instillation</t>
  </si>
  <si>
    <t>Skin application</t>
  </si>
  <si>
    <t>Steam bath</t>
  </si>
  <si>
    <t>Sublingual</t>
  </si>
  <si>
    <t>Yes</t>
  </si>
  <si>
    <t>No</t>
  </si>
  <si>
    <t>PubListWithNoBlanks</t>
  </si>
  <si>
    <t>SpeciesListWithNoBlank</t>
  </si>
  <si>
    <t>Welcome to the Malaria Plant DB entry workbook !</t>
  </si>
  <si>
    <t>3 – PLANT INGREDIENTS</t>
  </si>
  <si>
    <t>4 – ETHNOPHARMACOLOGY</t>
  </si>
  <si>
    <t>1 – PUBLICATIONS</t>
  </si>
  <si>
    <t>5 – IN VIVO PHARMACOLOGY</t>
  </si>
  <si>
    <t>6 – IN VITRO PHARMACOLOGY</t>
  </si>
  <si>
    <t>7 – CLINICAL STUDY</t>
  </si>
  <si>
    <t>Please refer to each sheet to enter the corresponding data :</t>
  </si>
  <si>
    <t>IMPORTANT : Please answer YES to the startup question to enable the macros. Unless, you will not be able to type your data.</t>
  </si>
  <si>
    <t>Part not defined</t>
  </si>
  <si>
    <t xml:space="preserve">Andrade-Neto, V.F./ Brandão, M.G.L. / Nogueira, F. /Rosário, V.E. / Krettli, A.U.  </t>
  </si>
  <si>
    <t>Ampelozyziphus amazonicus Ducke (Rhamnaceae), a medicinal plant used to prevent malaria in the Amazon Region, hampers the development of Plasmodium berghei sporozoites.</t>
  </si>
  <si>
    <t>International Journal for Parasitology</t>
  </si>
  <si>
    <t>1505-1511</t>
  </si>
  <si>
    <t>10.1016/j.ijpara.2008.05.007</t>
  </si>
  <si>
    <t>Deharo, Eric</t>
  </si>
  <si>
    <t>there is no plant named Ampelozyziphus in the plantlist.org</t>
  </si>
  <si>
    <t>Krettli, A.U./ Brandao, M.G.L. / Grandi, T.S.M. / Rocha, E.M.M./ Sawyer, D.R.</t>
  </si>
  <si>
    <t xml:space="preserve">Survey of medicinal plants used as antimalarials in the Amazon. J. Ethnopharmacol. </t>
  </si>
  <si>
    <t>Journal of Ethnopharacology</t>
  </si>
  <si>
    <t xml:space="preserve">175–182  </t>
  </si>
  <si>
    <t>Botelho, M.G.A./Paulino-Filho, H.F./ Krettli, A.U.</t>
  </si>
  <si>
    <t>Quimioterapia experimental antimalarica usando a Rhamnaceae A. amazonicus Ducke, vulgarmente denominada ‘‘cervejade- indio” contra o Plasmodium berghei.</t>
  </si>
  <si>
    <t>Anais do VII Simpo´ sio de Plantas Medicinais do Brazil</t>
  </si>
  <si>
    <t>437–442</t>
  </si>
  <si>
    <t>Akpan, E.J./ Okokon, J.E./ Etuk, I.C.</t>
  </si>
  <si>
    <t>Antiplasmodial and antipyretic studies on root extracts of Anthocleista djalonensis against Plasmodium berghei</t>
  </si>
  <si>
    <t>Asian Pacific Journal of Tropical Disease</t>
  </si>
  <si>
    <t>36-42</t>
  </si>
  <si>
    <t>10.1016/S2222-1808(12)60009-7</t>
  </si>
  <si>
    <t>http://linkinghub.elsevier.com/retrieve/pii/S2222180812600097</t>
  </si>
  <si>
    <t>Dalziel, J.M.</t>
  </si>
  <si>
    <t xml:space="preserve">The useful plants of West Tropical Africa. London: Crown Agents for Overseas Colonies.        </t>
  </si>
  <si>
    <t>Onocha, P.A./ Okorie, D.A./ Connolly, J.D./ Krebs, H.C./ Meier, B./ Habermehl, G.G.</t>
  </si>
  <si>
    <t>Evaluation of the in vivo antimalarial activity of ethanolic leaf and stembark extracts of Anthocleista djalonensis.</t>
  </si>
  <si>
    <t>Indian Journal of Pharmacology</t>
  </si>
  <si>
    <t>58-60</t>
  </si>
  <si>
    <t>Christian, A.G./ Akanimo, E.G./Ahunna, A.G./ Nwakaego, E.M./ Chimsorom, Chilaka Kingsley</t>
  </si>
  <si>
    <t>Antimalarial potency of the methanol leaf extract of Maerua crassifolia Forssk (Capparaceae)</t>
  </si>
  <si>
    <t>35-39</t>
  </si>
  <si>
    <t>10.1016/S2222-1808(14)60310-8</t>
  </si>
  <si>
    <t>http://www.sciencedirect.com/science/article/pii/S2222180814603108</t>
  </si>
  <si>
    <t>Rahman, M.A./ Mossa, J.S./Al-Said, M.S./ Al-Yahya, M.A.</t>
  </si>
  <si>
    <t xml:space="preserve"> Medicinal plant diversity in the flora of Saudi Arabia 1: a report on seven plant families.
</t>
  </si>
  <si>
    <t>Fitoterapia</t>
  </si>
  <si>
    <t>149-161</t>
  </si>
  <si>
    <t>Ettebong, E.O./Nwafor, P.A./Okokon, J.E.</t>
  </si>
  <si>
    <t>In vivo antiplasmodial activities of ethanolic extract and fractions of Eleucine indica.</t>
  </si>
  <si>
    <t>673-676</t>
  </si>
  <si>
    <t>10.1016/S1995-7645(12)60105-9</t>
  </si>
  <si>
    <t>http://www.sciencedirect.com/science/article/pii/S1995764512601059</t>
  </si>
  <si>
    <t>Lans, C.A.</t>
  </si>
  <si>
    <t>Ethnomedicine used in Trinidad and Tobago for urinary problems ans diabetes mellitus.</t>
  </si>
  <si>
    <t>J.Ethnobiol. Ethnomed</t>
  </si>
  <si>
    <t>Rhamnaceae</t>
  </si>
  <si>
    <t>Ampelozyziphus amazonicus Ducke</t>
  </si>
  <si>
    <t xml:space="preserve">Ampelozyziphus amazonicus Ducke </t>
  </si>
  <si>
    <t>Amazon Federal University</t>
  </si>
  <si>
    <t>Indian beer Saracura-mira</t>
  </si>
  <si>
    <t>not stated</t>
  </si>
  <si>
    <t>Gentianaceae</t>
  </si>
  <si>
    <t>Anthocleista djalonensis A. Chev</t>
  </si>
  <si>
    <t>University of Uyo, Uyo, Nigeria</t>
  </si>
  <si>
    <t>Nyan forest in Urunan area of Akwa Ibom State</t>
  </si>
  <si>
    <t>Capparaceae</t>
  </si>
  <si>
    <t>Maerua crassifolia Forssk</t>
  </si>
  <si>
    <t>National Institute for Pharmaceutical Research and Development (NIPRD), Abuja, Nigeria</t>
  </si>
  <si>
    <t>“Jega” in Sokoto and Nigeria, “agargar” in the Republic Niger</t>
  </si>
  <si>
    <t>Sokoto State (north west), Nigeria</t>
  </si>
  <si>
    <t>Poaceae</t>
  </si>
  <si>
    <t>Eleucina indica L. Gaertn</t>
  </si>
  <si>
    <t xml:space="preserve"> Eleucina indica L. Gaertn</t>
  </si>
  <si>
    <t>nkimenang (Ibibios) crosfoot or goose grass (English)</t>
  </si>
  <si>
    <t>Uyo,Akwa Ibom State, Nigeria</t>
  </si>
  <si>
    <t>Ampelozyziphus amazonicus Ducke, Root</t>
  </si>
  <si>
    <t>Ampelozyziphus amazonicus (Rhamnaceae) is used as a fresh aqueous suspension of the powdered roots to treat malaria in some endemic regions of the Brazilian Amazon. It is used in some regions of the Amazon by indigenous populations
who daily ingest cold infusions of dried roots and claim not to acquire the disease.</t>
  </si>
  <si>
    <t>Anthocleista djalonensis A. Chev, Root</t>
  </si>
  <si>
    <t>The stem,rootbark and leaves of A. djalonensis are used to treat
malaria, jaundice, diabetes and abscesses.   Dalziel JM. The useful plants of West Tropical Africa. London:
Crown Agents for Overseas Colonies; 1954.      The Ibibios of Southern Nigeria use the leaves and stembark as malarial remedy. Antia BS, Okokon JE, Etim EI, Umoh UF, Bassey EO. Evaluation of the in vivo antimalarial activity of ethanolic leaf and stembark extracts of Anthocleista djalonensis. Indian J Pharmacol 2009; 41(6): 258-261.</t>
  </si>
  <si>
    <t>Maerua crassifolia Forssk, Leaf</t>
  </si>
  <si>
    <t>The leaf of this plant has long been used for the treatment of gastric ulcer, toothache and intestinal diseases.    Medicinal plant diversity in the flora of Saudi Arabia 1: a report on seven plant families.
Rahman MA, Mossa JS, Al-Said MS, Al-Yahya MA Fitoterapia. 2004 Mar; 75(2):149-61.</t>
  </si>
  <si>
    <t>Eleucina indica L. Gaertn, Other</t>
  </si>
  <si>
    <t>Used against malaria among Ibibios of Southern Nigeria. The whole plant decoction is used to treat malaria and to restore menstruation in females suffering ammenorrhoea. The whole plant especially the root is depurative, diuretic, febrifuge and laxative. It is also used in the treatment of influenza, hypertension, oliguria and urinary retention as well as kidney problems in Trinidad and Tobago.</t>
  </si>
  <si>
    <t xml:space="preserve">Plasmodium berghei </t>
  </si>
  <si>
    <t>Anka/ sporozoites</t>
  </si>
  <si>
    <t>mice</t>
  </si>
  <si>
    <t>oral</t>
  </si>
  <si>
    <t>Plasmodium berghei</t>
  </si>
  <si>
    <t xml:space="preserve">antipyretic  properties were also evaluated. </t>
  </si>
  <si>
    <t>NK65</t>
  </si>
  <si>
    <t>There was no mortality observed in mice after oral administration of the methanol extract even at doses as high as 5 000 mg/kg signifying that the oral LD50 was more than 5 000 mg/kg</t>
  </si>
  <si>
    <t>berghei</t>
  </si>
  <si>
    <t>the results for the Rane test was not given in a table but in a graph</t>
  </si>
  <si>
    <t>Anka</t>
  </si>
  <si>
    <t>hepatoma cell line Hep G2 A16</t>
  </si>
  <si>
    <t xml:space="preserve">The TC50 was the minimum lethal dose of the compounds that inhibits 30% of cell growth </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</si>
</sst>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color indexed="8"/>
      <name val="Calibri"/>
      <family val="2"/>
    </font>
    <font>
      <b/>
      <sz val="14"/>
      <color indexed="18"/>
      <name val="Calibri"/>
      <family val="2"/>
    </font>
    <font>
      <b/>
      <sz val="12"/>
      <color indexed="8"/>
      <name val="Calibri"/>
      <family val="2"/>
    </font>
    <font>
      <b/>
      <i/>
      <sz val="12"/>
      <color indexed="8"/>
      <name val="Calibri"/>
      <family val="2"/>
    </font>
    <font>
      <b/>
      <sz val="10"/>
      <color indexed="8"/>
      <name val="Calibri"/>
      <family val="2"/>
    </font>
    <font>
      <sz val="10"/>
      <color indexed="8"/>
      <name val="Calibri"/>
      <family val="2"/>
    </font>
    <font>
      <sz val="12"/>
      <color rgb="FFFF0000"/>
      <name val="Calibri"/>
      <family val="2"/>
    </font>
    <font>
      <b/>
      <sz val="12"/>
      <name val="Calibri"/>
      <family val="2"/>
    </font>
    <font>
      <sz val="12"/>
      <name val="Calibri"/>
      <family val="2"/>
    </font>
    <font>
      <sz val="12"/>
      <color rgb="FF000000"/>
      <name val="Calibri"/>
      <family val="2"/>
    </font>
    <font>
      <b/>
      <sz val="10"/>
      <color indexed="8"/>
      <name val="Calibri"/>
      <family val="2"/>
    </font>
    <font>
      <sz val="16"/>
      <color rgb="FFFF0000"/>
      <name val="Calibri"/>
      <family val="2"/>
    </font>
    <font>
      <b/>
      <sz val="14"/>
      <color indexed="8"/>
      <name val="Calibri"/>
      <family val="2"/>
    </font>
    <font>
      <sz val="11"/>
      <color indexed="8"/>
      <name val="Calibri"/>
      <family val="2"/>
    </font>
  </fonts>
  <fills count="2">
    <fill>
      <patternFill patternType="none"/>
    </fill>
    <fill>
      <patternFill patternType="gray125"/>
    </fill>
  </fills>
  <borders count="3">
    <border>
      <left/>
      <right/>
      <top/>
      <bottom/>
      <diagonal/>
    </border>
    <border>
      <left style="medium">
        <color indexed="8"/>
      </left>
      <right/>
      <top/>
      <bottom/>
      <diagonal/>
    </border>
    <border>
      <left style="medium">
        <color indexed="8"/>
      </left>
      <right style="medium">
        <color indexed="8"/>
      </right>
      <top/>
      <bottom/>
      <diagonal/>
    </border>
  </borders>
  <cellStyleXfs count="1">
    <xf numFmtId="0" fontId="0" fillId="0" borderId="0"/>
  </cellStyleXfs>
  <cellXfs count="64">
    <xf numFmtId="0" fontId="0" fillId="0" borderId="0" xfId="0"/>
    <xf numFmtId="0" fontId="0" fillId="0" borderId="0" xfId="0" applyAlignment="1">
      <alignment wrapText="1"/>
    </xf>
    <xf numFmtId="0" fontId="1" fillId="0" borderId="0" xfId="0" applyFont="1" applyBorder="1" applyAlignment="1">
      <alignment vertical="top" wrapText="1"/>
    </xf>
    <xf numFmtId="0" fontId="3" fillId="0" borderId="0" xfId="0" applyFont="1"/>
    <xf numFmtId="0" fontId="5" fillId="0" borderId="0" xfId="0" applyFont="1" applyFill="1" applyBorder="1" applyAlignment="1" applyProtection="1">
      <alignment vertical="top" wrapText="1"/>
      <protection locked="0"/>
    </xf>
    <xf numFmtId="0" fontId="5" fillId="0" borderId="0" xfId="0" applyFont="1" applyFill="1" applyBorder="1" applyAlignment="1" applyProtection="1">
      <alignment horizontal="left" vertical="top" wrapText="1"/>
      <protection locked="0"/>
    </xf>
    <xf numFmtId="0" fontId="6" fillId="0" borderId="0" xfId="0" applyFont="1"/>
    <xf numFmtId="0" fontId="7" fillId="0" borderId="0" xfId="0" applyFont="1"/>
    <xf numFmtId="0" fontId="8" fillId="0" borderId="0" xfId="0" applyFont="1"/>
    <xf numFmtId="0" fontId="2" fillId="0" borderId="0" xfId="0" applyFont="1"/>
    <xf numFmtId="0" fontId="5" fillId="0" borderId="0" xfId="0" applyFont="1" applyAlignment="1" applyProtection="1">
      <alignment wrapText="1"/>
    </xf>
    <xf numFmtId="0" fontId="5" fillId="0" borderId="0" xfId="0" applyFont="1" applyBorder="1" applyAlignment="1" applyProtection="1">
      <alignment horizontal="left" vertical="top" wrapText="1"/>
      <protection locked="0"/>
    </xf>
    <xf numFmtId="0" fontId="5" fillId="0" borderId="0" xfId="0" applyFont="1" applyBorder="1" applyAlignment="1" applyProtection="1">
      <alignment horizontal="right" vertical="top" wrapText="1"/>
      <protection locked="0"/>
    </xf>
    <xf numFmtId="0" fontId="5" fillId="0" borderId="0" xfId="0" applyFont="1" applyBorder="1" applyAlignment="1" applyProtection="1">
      <alignment vertical="top" wrapText="1"/>
      <protection locked="0"/>
    </xf>
    <xf numFmtId="0" fontId="5" fillId="0" borderId="0" xfId="0" applyNumberFormat="1" applyFont="1" applyBorder="1" applyAlignment="1" applyProtection="1">
      <alignment vertical="top" wrapText="1"/>
      <protection locked="0"/>
    </xf>
    <xf numFmtId="49" fontId="5" fillId="0" borderId="0" xfId="0" applyNumberFormat="1" applyFont="1" applyBorder="1" applyAlignment="1" applyProtection="1">
      <alignment vertical="top" wrapText="1"/>
      <protection locked="0"/>
    </xf>
    <xf numFmtId="0" fontId="5" fillId="0" borderId="0" xfId="0" applyNumberFormat="1" applyFont="1" applyBorder="1" applyAlignment="1" applyProtection="1">
      <alignment horizontal="right" vertical="top" wrapText="1"/>
      <protection locked="0"/>
    </xf>
    <xf numFmtId="0" fontId="5" fillId="0" borderId="0" xfId="0" applyNumberFormat="1" applyFont="1" applyBorder="1" applyAlignment="1" applyProtection="1">
      <alignment horizontal="left" vertical="top" wrapText="1"/>
      <protection locked="0"/>
    </xf>
    <xf numFmtId="0" fontId="5" fillId="0" borderId="0" xfId="0" applyFont="1" applyFill="1" applyBorder="1" applyAlignment="1" applyProtection="1">
      <alignment horizontal="right" vertical="top" wrapText="1"/>
      <protection locked="0"/>
    </xf>
    <xf numFmtId="0" fontId="5" fillId="0" borderId="0" xfId="0" applyNumberFormat="1" applyFont="1" applyFill="1" applyAlignment="1" applyProtection="1">
      <alignment horizontal="left" vertical="top" wrapText="1"/>
      <protection locked="0"/>
    </xf>
    <xf numFmtId="0" fontId="0" fillId="0" borderId="0" xfId="0" applyFont="1" applyFill="1" applyBorder="1" applyAlignment="1" applyProtection="1">
      <alignment vertical="top" wrapText="1"/>
      <protection locked="0"/>
    </xf>
    <xf numFmtId="0" fontId="0" fillId="0" borderId="0" xfId="0" applyFont="1" applyBorder="1" applyAlignment="1" applyProtection="1">
      <alignment vertical="top" wrapText="1"/>
      <protection locked="0"/>
    </xf>
    <xf numFmtId="0" fontId="0" fillId="0" borderId="0" xfId="0" applyFont="1" applyBorder="1" applyAlignment="1" applyProtection="1">
      <alignment horizontal="left" vertical="top" wrapText="1"/>
      <protection locked="0"/>
    </xf>
    <xf numFmtId="0" fontId="0" fillId="0" borderId="0" xfId="0" applyFont="1" applyFill="1" applyBorder="1" applyAlignment="1" applyProtection="1">
      <alignment horizontal="left" vertical="top" wrapText="1"/>
      <protection locked="0"/>
    </xf>
    <xf numFmtId="16" fontId="5" fillId="0" borderId="0" xfId="0" applyNumberFormat="1" applyFont="1" applyBorder="1" applyAlignment="1" applyProtection="1">
      <alignment vertical="top" wrapText="1"/>
      <protection locked="0"/>
    </xf>
    <xf numFmtId="0" fontId="0" fillId="0" borderId="0" xfId="0" applyNumberFormat="1" applyFont="1" applyBorder="1" applyAlignment="1" applyProtection="1">
      <alignment vertical="top" wrapText="1"/>
      <protection locked="0"/>
    </xf>
    <xf numFmtId="0" fontId="0" fillId="0" borderId="0" xfId="0" applyProtection="1"/>
    <xf numFmtId="0" fontId="5" fillId="0" borderId="0" xfId="0" applyFont="1" applyBorder="1" applyAlignment="1" applyProtection="1">
      <alignment wrapText="1"/>
    </xf>
    <xf numFmtId="0" fontId="5" fillId="0" borderId="0" xfId="0" applyNumberFormat="1" applyFont="1" applyAlignment="1" applyProtection="1">
      <alignment wrapText="1"/>
    </xf>
    <xf numFmtId="0" fontId="4" fillId="0" borderId="0" xfId="0" applyFont="1" applyBorder="1" applyAlignment="1" applyProtection="1">
      <alignment horizontal="center" vertical="top" wrapText="1"/>
    </xf>
    <xf numFmtId="0" fontId="5" fillId="0" borderId="0" xfId="0" applyFont="1" applyAlignment="1" applyProtection="1">
      <alignment vertical="top" wrapText="1"/>
      <protection locked="0"/>
    </xf>
    <xf numFmtId="0" fontId="5" fillId="0" borderId="0" xfId="0" applyNumberFormat="1" applyFont="1" applyAlignment="1" applyProtection="1">
      <alignment vertical="top" wrapText="1"/>
      <protection locked="0"/>
    </xf>
    <xf numFmtId="0" fontId="5" fillId="0" borderId="0" xfId="0" applyFont="1" applyBorder="1" applyAlignment="1" applyProtection="1">
      <alignment vertical="top" wrapText="1"/>
    </xf>
    <xf numFmtId="0" fontId="5" fillId="0" borderId="0" xfId="0" applyFont="1" applyAlignment="1" applyProtection="1">
      <alignment vertical="top" wrapText="1"/>
    </xf>
    <xf numFmtId="0" fontId="5" fillId="0" borderId="0" xfId="0" applyNumberFormat="1" applyFont="1" applyAlignment="1" applyProtection="1">
      <alignment vertical="top" wrapText="1"/>
    </xf>
    <xf numFmtId="0" fontId="0" fillId="0" borderId="0" xfId="0" applyAlignment="1" applyProtection="1">
      <alignment vertical="top" wrapText="1"/>
      <protection locked="0"/>
    </xf>
    <xf numFmtId="0" fontId="0" fillId="0" borderId="0" xfId="0" applyAlignment="1" applyProtection="1">
      <alignment vertical="top" wrapText="1"/>
    </xf>
    <xf numFmtId="0" fontId="4" fillId="0" borderId="2" xfId="0" applyFont="1" applyBorder="1" applyAlignment="1" applyProtection="1">
      <alignment horizontal="center" vertical="top"/>
    </xf>
    <xf numFmtId="0" fontId="0" fillId="0" borderId="0" xfId="0" applyFont="1" applyAlignment="1" applyProtection="1">
      <alignment vertical="top" wrapText="1"/>
      <protection locked="0"/>
    </xf>
    <xf numFmtId="0" fontId="0" fillId="0" borderId="0" xfId="0" applyNumberFormat="1" applyFont="1" applyAlignment="1" applyProtection="1">
      <alignment vertical="top" wrapText="1"/>
      <protection locked="0"/>
    </xf>
    <xf numFmtId="0" fontId="4" fillId="0" borderId="0" xfId="0" applyFont="1" applyFill="1" applyBorder="1" applyAlignment="1" applyProtection="1">
      <alignment horizontal="center" vertical="top" wrapText="1"/>
    </xf>
    <xf numFmtId="0" fontId="10" fillId="0" borderId="0" xfId="0" applyFont="1" applyBorder="1" applyAlignment="1" applyProtection="1">
      <alignment horizontal="center" vertical="top" wrapText="1"/>
    </xf>
    <xf numFmtId="0" fontId="4" fillId="0" borderId="0" xfId="0" applyFont="1" applyAlignment="1" applyProtection="1">
      <alignment horizontal="center" vertical="top"/>
    </xf>
    <xf numFmtId="0" fontId="4" fillId="0" borderId="0" xfId="0" applyFont="1" applyBorder="1" applyAlignment="1" applyProtection="1">
      <alignment horizontal="center" vertical="top" wrapText="1" shrinkToFit="1"/>
    </xf>
    <xf numFmtId="0" fontId="5" fillId="0" borderId="0" xfId="0" applyNumberFormat="1" applyFont="1" applyBorder="1" applyAlignment="1" applyProtection="1">
      <alignment horizontal="left" vertical="top" wrapText="1"/>
    </xf>
    <xf numFmtId="0" fontId="5" fillId="0" borderId="0" xfId="0" applyFont="1" applyBorder="1" applyAlignment="1" applyProtection="1">
      <alignment horizontal="right" vertical="top" wrapText="1"/>
    </xf>
    <xf numFmtId="49" fontId="5" fillId="0" borderId="0" xfId="0" applyNumberFormat="1" applyFont="1" applyAlignment="1" applyProtection="1">
      <alignment vertical="top" wrapText="1"/>
    </xf>
    <xf numFmtId="2" fontId="5" fillId="0" borderId="0" xfId="0" applyNumberFormat="1" applyFont="1" applyBorder="1" applyAlignment="1" applyProtection="1">
      <alignment vertical="top" wrapText="1"/>
      <protection locked="0"/>
    </xf>
    <xf numFmtId="2" fontId="0" fillId="0" borderId="0" xfId="0" applyNumberFormat="1" applyFont="1" applyBorder="1" applyAlignment="1" applyProtection="1">
      <alignment vertical="top" wrapText="1"/>
      <protection locked="0"/>
    </xf>
    <xf numFmtId="0" fontId="11" fillId="0" borderId="0" xfId="0" applyFont="1"/>
    <xf numFmtId="0" fontId="12" fillId="0" borderId="0" xfId="0" applyFont="1"/>
    <xf numFmtId="0" fontId="13" fillId="0" borderId="0" xfId="0" applyFont="1"/>
    <xf numFmtId="0" fontId="4" fillId="0" borderId="1" xfId="0" applyFont="1" applyBorder="1" applyAlignment="1" applyProtection="1">
      <alignment horizontal="center" vertical="top" wrapText="1" shrinkToFit="1"/>
    </xf>
    <xf numFmtId="0" fontId="4" fillId="0" borderId="0" xfId="0" applyNumberFormat="1" applyFont="1" applyFill="1" applyBorder="1" applyAlignment="1" applyProtection="1">
      <alignment horizontal="center" vertical="top" wrapText="1"/>
    </xf>
    <xf numFmtId="49" fontId="4" fillId="0" borderId="0" xfId="0" applyNumberFormat="1" applyFont="1" applyFill="1" applyBorder="1" applyAlignment="1" applyProtection="1">
      <alignment horizontal="center" vertical="top" wrapText="1"/>
    </xf>
    <xf numFmtId="0" fontId="5" fillId="0" borderId="0" xfId="0" applyFont="1" applyAlignment="1" applyProtection="1">
      <alignment wrapText="1"/>
      <protection locked="0"/>
    </xf>
    <xf numFmtId="0" fontId="0" fillId="0" borderId="0" xfId="0" applyFont="1" applyAlignment="1" applyProtection="1">
      <protection locked="0"/>
    </xf>
    <xf numFmtId="0" fontId="5" fillId="0" borderId="0" xfId="0" applyFont="1" applyBorder="1" applyAlignment="1" applyProtection="1">
      <alignment wrapText="1"/>
      <protection locked="0"/>
    </xf>
    <xf numFmtId="0" fontId="0" fillId="0" borderId="0" xfId="0" applyProtection="1">
      <protection locked="0"/>
    </xf>
    <xf numFmtId="0" fontId="5" fillId="0" borderId="0" xfId="0" applyFont="1" applyBorder="1" applyAlignment="1" applyProtection="1">
      <protection locked="0"/>
    </xf>
    <xf numFmtId="0" fontId="0" fillId="0" borderId="0" xfId="0" applyFont="1" applyAlignment="1" applyProtection="1">
      <alignment vertical="top"/>
      <protection locked="0"/>
    </xf>
    <xf numFmtId="0" fontId="0" fillId="0" borderId="0" xfId="0" applyAlignment="1" applyProtection="1">
      <alignment vertical="top"/>
      <protection locked="0"/>
    </xf>
    <xf numFmtId="0" fontId="0" fillId="0" borderId="0" xfId="0" applyAlignment="1" applyProtection="1">
      <alignment wrapText="1"/>
      <protection locked="0"/>
    </xf>
    <xf numFmtId="0" fontId="0" fillId="0" borderId="0" xfId="0" applyNumberFormat="1" applyAlignment="1" applyProtection="1">
      <alignment vertical="top"/>
      <protection locked="0"/>
    </xf>
  </cellXfs>
  <cellStyles count="1">
    <cellStyle name="Normal" xfId="0" builtinId="0" customBuiltin="1"/>
  </cellStyles>
  <dxfs count="251">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border diagonalUp="0" diagonalDown="0">
        <left style="medium">
          <color indexed="8"/>
        </left>
        <right/>
        <top style="medium">
          <color indexed="8"/>
        </top>
        <bottom/>
      </border>
    </dxf>
    <dxf>
      <font>
        <strike val="0"/>
        <outline val="0"/>
        <shadow val="0"/>
        <u val="none"/>
        <vertAlign val="baseline"/>
        <sz val="10"/>
        <color indexed="8"/>
        <name val="Calibri"/>
        <scheme val="none"/>
      </font>
      <alignment vertical="top" textRotation="0" wrapText="1" justifyLastLine="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border diagonalUp="0" diagonalDown="0">
        <left style="medium">
          <color indexed="8"/>
        </left>
        <right style="medium">
          <color indexed="8"/>
        </right>
        <top/>
        <bottom/>
      </border>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30" formatCode="@"/>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i val="0"/>
        <strike val="0"/>
        <condense val="0"/>
        <extend val="0"/>
        <outline val="0"/>
        <shadow val="0"/>
        <u val="none"/>
        <vertAlign val="baseline"/>
        <sz val="10"/>
        <color indexed="8"/>
        <name val="Calibri"/>
        <scheme val="none"/>
      </font>
      <fill>
        <patternFill patternType="none">
          <fgColor indexed="64"/>
          <bgColor indexed="65"/>
        </patternFill>
      </fill>
      <alignment horizontal="center" vertical="top" textRotation="0" wrapText="1" indent="0" justifyLastLine="0" shrinkToFit="0" readingOrder="0"/>
      <border diagonalUp="0" diagonalDown="0">
        <left style="medium">
          <color indexed="8"/>
        </left>
        <right style="medium">
          <color indexed="8"/>
        </right>
        <top/>
        <bottom/>
      </border>
      <protection locked="1" hidden="0"/>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2" formatCode="0.00"/>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border diagonalUp="0" diagonalDown="0">
        <left style="medium">
          <color indexed="8"/>
        </left>
        <right/>
        <top style="medium">
          <color indexed="8"/>
        </top>
        <bottom/>
      </border>
    </dxf>
    <dxf>
      <font>
        <strike val="0"/>
        <outline val="0"/>
        <shadow val="0"/>
        <u val="none"/>
        <vertAlign val="baseline"/>
        <sz val="10"/>
        <color indexed="8"/>
        <name val="Calibri"/>
        <scheme val="none"/>
      </font>
      <alignment vertical="top" textRotation="0" wrapText="1" justifyLastLine="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1" readingOrder="0"/>
      <border diagonalUp="0" diagonalDown="0">
        <left style="medium">
          <color indexed="8"/>
        </left>
        <right style="medium">
          <color indexed="8"/>
        </right>
        <top/>
        <bottom/>
      </border>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protection locked="1" hidden="0"/>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numFmt numFmtId="0" formatCode="General"/>
      <alignment horizontal="general" vertical="top" textRotation="0" wrapText="0"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strike val="0"/>
        <outline val="0"/>
        <shadow val="0"/>
        <u val="none"/>
        <vertAlign val="baseline"/>
        <sz val="10"/>
        <color indexed="8"/>
        <name val="Calibri"/>
        <scheme val="none"/>
      </font>
      <alignment horizontal="general" vertical="top" textRotation="0" wrapText="0"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border diagonalUp="0" diagonalDown="0">
        <left style="medium">
          <color indexed="8"/>
        </left>
        <right style="medium">
          <color indexed="8"/>
        </right>
        <top/>
        <bottom/>
      </border>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strike val="0"/>
        <outline val="0"/>
        <shadow val="0"/>
        <u val="none"/>
        <vertAlign val="baseline"/>
        <sz val="10"/>
        <color indexed="8"/>
        <name val="Calibri"/>
        <scheme val="none"/>
      </font>
      <alignment horizontal="general" vertical="bottom" textRotation="0" wrapText="0"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fill>
        <patternFill patternType="none">
          <fgColor indexed="64"/>
          <bgColor indexed="65"/>
        </patternFill>
      </fill>
      <alignment horizontal="left"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fill>
        <patternFill patternType="none">
          <fgColor indexed="64"/>
          <bgColor indexed="65"/>
        </patternFill>
      </fill>
      <alignment horizontal="left"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fill>
        <patternFill patternType="none">
          <fgColor indexed="64"/>
          <bgColor indexed="65"/>
        </patternFill>
      </fil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bottom" textRotation="0" wrapText="1" indent="0" justifyLastLine="0" shrinkToFit="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border diagonalUp="0" diagonalDown="0">
        <left style="medium">
          <color indexed="8"/>
        </left>
        <right style="medium">
          <color indexed="8"/>
        </right>
        <top/>
        <bottom/>
      </border>
      <protection locked="1" hidden="0"/>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514D4D"/>
      <color rgb="FFC0C0C0"/>
      <color rgb="FF969696"/>
      <color rgb="FF777777"/>
      <color rgb="FF8C8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485775</xdr:colOff>
          <xdr:row>57</xdr:row>
          <xdr:rowOff>57150</xdr:rowOff>
        </xdr:from>
        <xdr:to>
          <xdr:col>0</xdr:col>
          <xdr:colOff>1676400</xdr:colOff>
          <xdr:row>62</xdr:row>
          <xdr:rowOff>57150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rPr>
                <a:t>CHECK CONSISTENCY</a:t>
              </a:r>
            </a:p>
          </xdr:txBody>
        </xdr:sp>
        <xdr:clientData fPrintsWithSheet="0"/>
      </xdr:twoCellAnchor>
    </mc:Choice>
    <mc:Fallback/>
  </mc:AlternateContent>
</xdr:wsDr>
</file>

<file path=xl/tables/table1.xml><?xml version="1.0" encoding="utf-8"?>
<table xmlns="http://schemas.openxmlformats.org/spreadsheetml/2006/main" id="1" name="publiTab" displayName="publiTab" ref="A1:W100" totalsRowShown="0" headerRowDxfId="208" dataDxfId="207">
  <tableColumns count="23">
    <tableColumn id="1" name="Entry Type *" dataDxfId="206"/>
    <tableColumn id="2" name="Author(s) *" dataDxfId="205"/>
    <tableColumn id="3" name="Year *" dataDxfId="204"/>
    <tableColumn id="4" name="Title *" dataDxfId="203"/>
    <tableColumn id="5" name="Journal" dataDxfId="202"/>
    <tableColumn id="8" name="Month" dataDxfId="201"/>
    <tableColumn id="15" name="Page" dataDxfId="200"/>
    <tableColumn id="14" name="Volume" dataDxfId="199"/>
    <tableColumn id="24" name="Nb of volumes" dataDxfId="198"/>
    <tableColumn id="13" name="Number" dataDxfId="197"/>
    <tableColumn id="26" name="Book title" dataDxfId="196"/>
    <tableColumn id="16" name="Publisher" dataDxfId="195"/>
    <tableColumn id="21" name="Edition" dataDxfId="194"/>
    <tableColumn id="9" name="University" dataDxfId="193"/>
    <tableColumn id="12" name="Institution" dataDxfId="192"/>
    <tableColumn id="17" name="DOI" dataDxfId="191"/>
    <tableColumn id="18" name="PMID" dataDxfId="190"/>
    <tableColumn id="19" name="ISBN" dataDxfId="189"/>
    <tableColumn id="22" name="URL" dataDxfId="188"/>
    <tableColumn id="6" name="Reviewed by compiler(s) *" dataDxfId="187"/>
    <tableColumn id="23" name="Compiler(s) name(s) *" dataDxfId="186"/>
    <tableColumn id="27" name="Note from compiler(s)" dataDxfId="185"/>
    <tableColumn id="7" name="PubListWithNoBlanks" dataDxfId="184">
      <calculatedColumnFormula array="1">IF(ROWS(D$2:D2)&gt;COUNTA($D$2:$D$100),"",INDEX($D$2:$D$100,SMALL(IF($D$2:$D$100&lt;&gt;"",ROW($D$2:$D$100)-ROW($D$2)+1),ROWS(W$2:W2))))</calculatedColumnFormula>
    </tableColumn>
  </tableColumns>
  <tableStyleInfo name="TableStyleMedium14" showFirstColumn="0" showLastColumn="0" showRowStripes="1" showColumnStripes="0"/>
</table>
</file>

<file path=xl/tables/table2.xml><?xml version="1.0" encoding="utf-8"?>
<table xmlns="http://schemas.openxmlformats.org/spreadsheetml/2006/main" id="2" name="speciesTab" displayName="speciesTab" ref="A1:K100" totalsRowShown="0" headerRowDxfId="171" dataDxfId="170">
  <tableColumns count="11">
    <tableColumn id="1" name="Publication (title) *" dataDxfId="169"/>
    <tableColumn id="2" name="Family *" dataDxfId="168"/>
    <tableColumn id="3" name="Species *" dataDxfId="167"/>
    <tableColumn id="4" name="Species name in publication *" dataDxfId="166"/>
    <tableColumn id="5" name="Herbarium voucher *" dataDxfId="165"/>
    <tableColumn id="6" name="Herbarium" dataDxfId="164"/>
    <tableColumn id="8" name="Local name" dataDxfId="163"/>
    <tableColumn id="7" name="Collection site" dataDxfId="162"/>
    <tableColumn id="10" name="Country *" dataDxfId="161"/>
    <tableColumn id="9" name="Continent" dataDxfId="160"/>
    <tableColumn id="13" name="SpeciesListWithNoBlank" dataDxfId="159">
      <calculatedColumnFormula array="1">IF(ROWS($C$2:$C2)&gt;COUNTA($C$2:$C$100),"",INDEX($C$2:$C$100,SMALL(IF($C$2:$C$100&lt;&gt;"",ROW($C$2:$C$100)-ROW($C$2)+1),ROWS($K$2:$K2))))</calculatedColumnFormula>
    </tableColumn>
  </tableColumns>
  <tableStyleInfo name="TableStyleMedium14" showFirstColumn="0" showLastColumn="0" showRowStripes="1" showColumnStripes="0"/>
</table>
</file>

<file path=xl/tables/table3.xml><?xml version="1.0" encoding="utf-8"?>
<table xmlns="http://schemas.openxmlformats.org/spreadsheetml/2006/main" id="6" name="ingredientsTab" displayName="ingredientsTab" ref="A1:V100" totalsRowShown="0" headerRowDxfId="150" dataDxfId="149">
  <autoFilter ref="A1:V1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autoFilter>
  <tableColumns count="22">
    <tableColumn id="1" name="Publication (title) *" dataDxfId="148"/>
    <tableColumn id="2" name="Plant ingredient #1 (species) *" dataDxfId="147"/>
    <tableColumn id="3" name="Plant ingredient #1 (part used) *" dataDxfId="146"/>
    <tableColumn id="4" name="Plant ingredient #2 (species)" dataDxfId="145"/>
    <tableColumn id="5" name="Plant ingredient #2 (part used)" dataDxfId="144"/>
    <tableColumn id="6" name="Plant ingredient #3 (species)" dataDxfId="143"/>
    <tableColumn id="7" name="Plant ingredient #3 (part used)" dataDxfId="142"/>
    <tableColumn id="8" name="Plant ingredient #4 (species)" dataDxfId="141"/>
    <tableColumn id="9" name="Plant ingredient #4 (part used)" dataDxfId="140"/>
    <tableColumn id="10" name="Plant ingredient #5 (species)" dataDxfId="139"/>
    <tableColumn id="11" name="Plant ingredient #5 (part used)" dataDxfId="138"/>
    <tableColumn id="12" name="Plant ingredient #6 (species)" dataDxfId="137"/>
    <tableColumn id="13" name="Plant ingredient #6 (part used)" dataDxfId="136"/>
    <tableColumn id="14" name="Plant ingredient #7 (species)" dataDxfId="135"/>
    <tableColumn id="15" name="Plant ingredient #7 (part used)" dataDxfId="134"/>
    <tableColumn id="16" name="Plant ingredient #8 (species)" dataDxfId="133"/>
    <tableColumn id="17" name="Plant ingredient #8 (part used)" dataDxfId="132"/>
    <tableColumn id="18" name="Plant ingredient #9 (species)" dataDxfId="131"/>
    <tableColumn id="19" name="Plant ingredient #9 (part used)" dataDxfId="130"/>
    <tableColumn id="20" name="Plant ingredient #10 (species)" dataDxfId="129"/>
    <tableColumn id="22" name="Plant ingredient #10 (part used)" dataDxfId="128"/>
    <tableColumn id="21" name="Ingredients" dataDxfId="127">
      <calculatedColumnFormula>IF(OR(ISBLANK(B2),ISBLANK(C2)),"",B2&amp;", "&amp;C2&amp;IF(OR(ISBLANK(D2),ISBLANK(E2)),""," / "&amp;D2&amp;", "&amp;E2&amp;IF(OR(ISBLANK(F2),ISBLANK(G2)),""," / "&amp;F2&amp;", "&amp;G2&amp;IF(OR(ISBLANK(H2),ISBLANK(I2)),""," / "&amp;H2&amp;", "&amp;I2&amp;IF(OR(ISBLANK(J2),ISBLANK(K2)),""," / "&amp;J2&amp;", "&amp;K2&amp;IF(OR(ISBLANK(L2),ISBLANK(M2)),""," / "&amp;L2&amp;", "&amp;M2&amp;IF(OR(ISBLANK(N2),ISBLANK(O2)),""," / "&amp;N2&amp;", "&amp;O2&amp;IF(OR(ISBLANK(P2),ISBLANK(Q2)),""," / "&amp;P2&amp;", "&amp;Q2&amp;IF(OR(ISBLANK(R2),ISBLANK(S2)),""," / "&amp;R2&amp;", "&amp;S2 &amp; IF(OR(ISBLANK(T2), ISBLANK(U2)), "", " / " &amp; T2 &amp; ", " &amp; U2))))))))))</calculatedColumnFormula>
    </tableColumn>
  </tableColumns>
  <tableStyleInfo name="TableStyleMedium14" showFirstColumn="0" showLastColumn="0" showRowStripes="1" showColumnStripes="0"/>
</table>
</file>

<file path=xl/tables/table4.xml><?xml version="1.0" encoding="utf-8"?>
<table xmlns="http://schemas.openxmlformats.org/spreadsheetml/2006/main" id="3" name="ethnoTab" displayName="ethnoTab" ref="A1:I95" totalsRowShown="0" headerRowDxfId="108" dataDxfId="107">
  <autoFilter ref="A1:I9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name="Publication (title) *" dataDxfId="106"/>
    <tableColumn id="2" name="Plant ingredient(s) used *" dataDxfId="105"/>
    <tableColumn id="4" name="Ethnopharmacological relevancy *" dataDxfId="104"/>
    <tableColumn id="5" name="Reference for ethnopharmacological relevancy" dataDxfId="103"/>
    <tableColumn id="12" name="Treatment type *" dataDxfId="102"/>
    <tableColumn id="6" name="Traditional recipe *_x000a_" dataDxfId="101"/>
    <tableColumn id="8" name="Traditional recipe details" dataDxfId="100"/>
    <tableColumn id="10" name="Preparation mode in traditional recipe" dataDxfId="99"/>
    <tableColumn id="11" name="Administration route in traditional recipe" dataDxfId="98"/>
  </tableColumns>
  <tableStyleInfo name="TableStyleMedium14" showFirstColumn="0" showLastColumn="0" showRowStripes="1" showColumnStripes="0"/>
</table>
</file>

<file path=xl/tables/table5.xml><?xml version="1.0" encoding="utf-8"?>
<table xmlns="http://schemas.openxmlformats.org/spreadsheetml/2006/main" id="4" name="bioInVivoTab" displayName="bioInVivoTab" ref="A1:S100" totalsRowShown="0" headerRowDxfId="72" dataDxfId="71" tableBorderDxfId="70">
  <autoFilter ref="A1:S1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name="Publication (title) *" dataDxfId="69"/>
    <tableColumn id="2" name="Plant ingredient(s) tested *" dataDxfId="68"/>
    <tableColumn id="5" name="Tested entity *" dataDxfId="67"/>
    <tableColumn id="13" name="Extraction solvent" dataDxfId="66"/>
    <tableColumn id="8" name="Additive product " dataDxfId="65"/>
    <tableColumn id="12" name="Compound name" dataDxfId="64"/>
    <tableColumn id="4" name="Screening test *" dataDxfId="63"/>
    <tableColumn id="9" name="Parasite *" dataDxfId="62"/>
    <tableColumn id="7" name="Parasite details" dataDxfId="61"/>
    <tableColumn id="10" name="Animal" dataDxfId="60"/>
    <tableColumn id="11" name="Treatment route" dataDxfId="59"/>
    <tableColumn id="14" name="Dose for selected result (mg/kg)" dataDxfId="58"/>
    <tableColumn id="15" name="Inhibition for selected result (%)" dataDxfId="57"/>
    <tableColumn id="16" name="Survival percent for selected result (%)" dataDxfId="56"/>
    <tableColumn id="17" name="Survival time for selected result (days)" dataDxfId="55"/>
    <tableColumn id="18" name="ED50 for selected result (mg/kg)" dataDxfId="54"/>
    <tableColumn id="3" name="Toxicity *" dataDxfId="53"/>
    <tableColumn id="19" name="LD50 (mg/kg)" dataDxfId="52"/>
    <tableColumn id="25" name="Experimental observations from compiler(s)" dataDxfId="51"/>
  </tableColumns>
  <tableStyleInfo name="TableStyleMedium14" showFirstColumn="0" showLastColumn="0" showRowStripes="1" showColumnStripes="0"/>
</table>
</file>

<file path=xl/tables/table6.xml><?xml version="1.0" encoding="utf-8"?>
<table xmlns="http://schemas.openxmlformats.org/spreadsheetml/2006/main" id="5" name="bioInVitroTab" displayName="bioInVitroTab" ref="A1:Q100" totalsRowShown="0" headerRowDxfId="27" dataDxfId="26">
  <autoFilter ref="A1:Q1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name="Publication (title) *" dataDxfId="25"/>
    <tableColumn id="2" name="Plant ingredient(s) tested *" dataDxfId="24"/>
    <tableColumn id="21" name="Tested entity *" dataDxfId="23"/>
    <tableColumn id="6" name="Extraction solvent" dataDxfId="22"/>
    <tableColumn id="3" name="Additive product " dataDxfId="21"/>
    <tableColumn id="22" name="Compound name " dataDxfId="20"/>
    <tableColumn id="5" name="Screening test *" dataDxfId="19"/>
    <tableColumn id="9" name="Parasite *" dataDxfId="18"/>
    <tableColumn id="4" name="Parasite details" dataDxfId="17"/>
    <tableColumn id="10" name="Cell line" dataDxfId="16"/>
    <tableColumn id="13" name="Measure method" dataDxfId="15"/>
    <tableColumn id="14" name="Concentration for selected result (μg/ml)" dataDxfId="14"/>
    <tableColumn id="15" name="Inhibition for selected result (%)" dataDxfId="13"/>
    <tableColumn id="16" name="IC50 for selected result (μg/ml)" dataDxfId="12"/>
    <tableColumn id="18" name="Toxicity *" dataDxfId="11"/>
    <tableColumn id="19" name="TC50 (μg/ml)" dataDxfId="10"/>
    <tableColumn id="17" name="Experimental observations from compiler(s)" dataDxfId="9"/>
  </tableColumns>
  <tableStyleInfo name="TableStyleMedium14" showFirstColumn="0" showLastColumn="0" showRowStripes="1" showColumnStripes="0"/>
</table>
</file>

<file path=xl/tables/table7.xml><?xml version="1.0" encoding="utf-8"?>
<table xmlns="http://schemas.openxmlformats.org/spreadsheetml/2006/main" id="7" name="bioClinicalTab" displayName="bioClinicalTab" ref="A1:B100" totalsRowShown="0" headerRowDxfId="4" dataDxfId="3" tableBorderDxfId="2">
  <autoFilter ref="A1:B100">
    <filterColumn colId="0" hiddenButton="1"/>
    <filterColumn colId="1" hiddenButton="1"/>
  </autoFilter>
  <tableColumns count="2">
    <tableColumn id="1" name="Publication (title) *" dataDxfId="1"/>
    <tableColumn id="2" name="Plant ingredient(s) tested *" dataDxfId="0"/>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2:V13"/>
  <sheetViews>
    <sheetView zoomScale="115" zoomScaleNormal="115" workbookViewId="0">
      <selection activeCell="A12" sqref="A12"/>
    </sheetView>
  </sheetViews>
  <sheetFormatPr defaultColWidth="9.140625" defaultRowHeight="12.75" x14ac:dyDescent="0.2"/>
  <cols>
    <col min="1" max="1" width="59.28515625" customWidth="1"/>
    <col min="2" max="2" width="34.7109375" customWidth="1"/>
    <col min="4" max="4" width="43.5703125" customWidth="1"/>
  </cols>
  <sheetData>
    <row r="2" spans="1:22" ht="18.75" x14ac:dyDescent="0.3">
      <c r="A2" s="50" t="s">
        <v>708</v>
      </c>
    </row>
    <row r="4" spans="1:22" ht="21" x14ac:dyDescent="0.35">
      <c r="A4" s="49" t="s">
        <v>716</v>
      </c>
    </row>
    <row r="6" spans="1:22" ht="15" x14ac:dyDescent="0.25">
      <c r="A6" s="51" t="s">
        <v>715</v>
      </c>
    </row>
    <row r="7" spans="1:22" s="1" customFormat="1" ht="18.75" x14ac:dyDescent="0.2">
      <c r="A7" s="2" t="s">
        <v>711</v>
      </c>
      <c r="B7"/>
      <c r="C7"/>
      <c r="D7" s="2"/>
      <c r="E7"/>
      <c r="F7"/>
      <c r="G7"/>
      <c r="H7"/>
      <c r="I7"/>
      <c r="J7"/>
      <c r="K7"/>
      <c r="L7"/>
      <c r="M7"/>
      <c r="N7"/>
      <c r="O7"/>
      <c r="P7"/>
      <c r="Q7"/>
      <c r="R7"/>
      <c r="S7"/>
      <c r="T7"/>
      <c r="U7"/>
      <c r="V7"/>
    </row>
    <row r="8" spans="1:22" ht="18.75" x14ac:dyDescent="0.2">
      <c r="A8" s="2" t="s">
        <v>555</v>
      </c>
    </row>
    <row r="9" spans="1:22" ht="18.75" x14ac:dyDescent="0.2">
      <c r="A9" s="2" t="s">
        <v>709</v>
      </c>
    </row>
    <row r="10" spans="1:22" ht="18.75" x14ac:dyDescent="0.2">
      <c r="A10" s="2" t="s">
        <v>710</v>
      </c>
    </row>
    <row r="11" spans="1:22" ht="18.75" x14ac:dyDescent="0.2">
      <c r="A11" s="2" t="s">
        <v>712</v>
      </c>
    </row>
    <row r="12" spans="1:22" ht="18.75" x14ac:dyDescent="0.2">
      <c r="A12" s="2" t="s">
        <v>713</v>
      </c>
    </row>
    <row r="13" spans="1:22" ht="18.75" x14ac:dyDescent="0.2">
      <c r="A13" s="2" t="s">
        <v>714</v>
      </c>
    </row>
  </sheetData>
  <sheetProtection sheet="1" objects="1" scenarios="1" formatColumns="0" formatRows="0" insertRows="0" deleteRows="0"/>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heckConsistency">
                <anchor moveWithCells="1" sizeWithCells="1">
                  <from>
                    <xdr:col>0</xdr:col>
                    <xdr:colOff>485775</xdr:colOff>
                    <xdr:row>57</xdr:row>
                    <xdr:rowOff>57150</xdr:rowOff>
                  </from>
                  <to>
                    <xdr:col>0</xdr:col>
                    <xdr:colOff>1676400</xdr:colOff>
                    <xdr:row>62</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Z100"/>
  <sheetViews>
    <sheetView zoomScale="115" zoomScaleNormal="115" workbookViewId="0">
      <selection activeCell="D2" sqref="D2"/>
    </sheetView>
  </sheetViews>
  <sheetFormatPr defaultColWidth="11" defaultRowHeight="12.75" x14ac:dyDescent="0.2"/>
  <cols>
    <col min="1" max="1" width="15" style="4" customWidth="1"/>
    <col min="2" max="2" width="41.7109375" style="13" customWidth="1"/>
    <col min="3" max="3" width="7.42578125" style="13" customWidth="1"/>
    <col min="4" max="4" width="66.5703125" style="13" customWidth="1"/>
    <col min="5" max="5" width="25.7109375" style="13" customWidth="1"/>
    <col min="6" max="6" width="10.28515625" style="30" customWidth="1"/>
    <col min="7" max="7" width="7" style="30" customWidth="1"/>
    <col min="8" max="8" width="18.28515625" style="30" customWidth="1"/>
    <col min="9" max="9" width="7.28515625" style="13" customWidth="1"/>
    <col min="10" max="10" width="10.140625" style="14" customWidth="1"/>
    <col min="11" max="11" width="31.7109375" style="13" customWidth="1"/>
    <col min="12" max="12" width="22.28515625" style="13" customWidth="1"/>
    <col min="13" max="13" width="20.7109375" style="35" customWidth="1"/>
    <col min="14" max="14" width="23.42578125" style="13" customWidth="1"/>
    <col min="15" max="15" width="21.85546875" style="30" customWidth="1"/>
    <col min="16" max="16" width="24.7109375" style="13" customWidth="1"/>
    <col min="17" max="17" width="14.42578125" style="13" customWidth="1"/>
    <col min="18" max="18" width="17.28515625" style="30" customWidth="1"/>
    <col min="19" max="19" width="36" style="30" customWidth="1"/>
    <col min="20" max="20" width="12.140625" style="30" customWidth="1"/>
    <col min="21" max="21" width="23.28515625" style="30" customWidth="1"/>
    <col min="22" max="22" width="55.28515625" style="31" customWidth="1"/>
    <col min="23" max="23" width="73" style="59" hidden="1" customWidth="1"/>
    <col min="24" max="24" width="17.28515625" style="57" customWidth="1"/>
    <col min="25" max="25" width="17" style="57" customWidth="1"/>
    <col min="26" max="26" width="63.140625" style="55" hidden="1" customWidth="1"/>
    <col min="27" max="16384" width="11" style="55"/>
  </cols>
  <sheetData>
    <row r="1" spans="1:25" s="10" customFormat="1" ht="34.5" customHeight="1" x14ac:dyDescent="0.2">
      <c r="A1" s="29" t="s">
        <v>15</v>
      </c>
      <c r="B1" s="29" t="s">
        <v>13</v>
      </c>
      <c r="C1" s="29" t="s">
        <v>14</v>
      </c>
      <c r="D1" s="29" t="s">
        <v>0</v>
      </c>
      <c r="E1" s="29" t="s">
        <v>16</v>
      </c>
      <c r="F1" s="29" t="s">
        <v>26</v>
      </c>
      <c r="G1" s="29" t="s">
        <v>557</v>
      </c>
      <c r="H1" s="29" t="s">
        <v>1</v>
      </c>
      <c r="I1" s="29" t="s">
        <v>558</v>
      </c>
      <c r="J1" s="29" t="s">
        <v>25</v>
      </c>
      <c r="K1" s="29" t="s">
        <v>564</v>
      </c>
      <c r="L1" s="29" t="s">
        <v>18</v>
      </c>
      <c r="M1" s="29" t="s">
        <v>27</v>
      </c>
      <c r="N1" s="29" t="s">
        <v>568</v>
      </c>
      <c r="O1" s="29" t="s">
        <v>17</v>
      </c>
      <c r="P1" s="29" t="s">
        <v>2</v>
      </c>
      <c r="Q1" s="29" t="s">
        <v>19</v>
      </c>
      <c r="R1" s="29" t="s">
        <v>20</v>
      </c>
      <c r="S1" s="29" t="s">
        <v>28</v>
      </c>
      <c r="T1" s="29" t="s">
        <v>569</v>
      </c>
      <c r="U1" s="29" t="s">
        <v>570</v>
      </c>
      <c r="V1" s="29" t="s">
        <v>571</v>
      </c>
      <c r="W1" s="37" t="s">
        <v>706</v>
      </c>
    </row>
    <row r="2" spans="1:25" ht="38.25" x14ac:dyDescent="0.2">
      <c r="A2" s="4" t="s">
        <v>638</v>
      </c>
      <c r="B2" s="20" t="s">
        <v>718</v>
      </c>
      <c r="C2" s="20">
        <v>2008</v>
      </c>
      <c r="D2" s="20" t="s">
        <v>719</v>
      </c>
      <c r="E2" s="20" t="s">
        <v>720</v>
      </c>
      <c r="F2" s="4" t="s">
        <v>33</v>
      </c>
      <c r="G2" s="18" t="s">
        <v>721</v>
      </c>
      <c r="H2" s="4">
        <v>38</v>
      </c>
      <c r="I2" s="4"/>
      <c r="J2" s="4"/>
      <c r="K2" s="4"/>
      <c r="L2" s="4"/>
      <c r="M2" s="4"/>
      <c r="N2" s="4"/>
      <c r="O2" s="4"/>
      <c r="P2" s="23" t="s">
        <v>722</v>
      </c>
      <c r="Q2" s="4">
        <v>18599059</v>
      </c>
      <c r="R2" s="35"/>
      <c r="S2" s="35"/>
      <c r="T2" s="5" t="s">
        <v>704</v>
      </c>
      <c r="U2" s="23" t="s">
        <v>723</v>
      </c>
      <c r="V2" s="5" t="s">
        <v>724</v>
      </c>
      <c r="W2" s="56" t="str">
        <f t="array" ref="W2">IF(ROWS(D$2:D2)&gt;COUNTA($D$2:$D$100),"",INDEX($D$2:$D$100,SMALL(IF($D$2:$D$100&lt;&gt;"",ROW($D$2:$D$100)-ROW($D$2)+1),ROWS(W$2:W2))))</f>
        <v>Ampelozyziphus amazonicus Ducke (Rhamnaceae), a medicinal plant used to prevent malaria in the Amazon Region, hampers the development of Plasmodium berghei sporozoites.</v>
      </c>
      <c r="X2" s="55"/>
      <c r="Y2" s="55"/>
    </row>
    <row r="3" spans="1:25" ht="25.5" x14ac:dyDescent="0.2">
      <c r="A3" s="4" t="s">
        <v>638</v>
      </c>
      <c r="B3" s="20" t="s">
        <v>725</v>
      </c>
      <c r="C3" s="4">
        <v>1992</v>
      </c>
      <c r="D3" s="20" t="s">
        <v>726</v>
      </c>
      <c r="E3" s="20" t="s">
        <v>727</v>
      </c>
      <c r="F3" s="4"/>
      <c r="G3" s="18" t="s">
        <v>728</v>
      </c>
      <c r="H3" s="4">
        <v>36</v>
      </c>
      <c r="I3" s="4"/>
      <c r="J3" s="4"/>
      <c r="K3" s="20"/>
      <c r="L3" s="4"/>
      <c r="M3" s="4"/>
      <c r="N3" s="4"/>
      <c r="O3" s="4"/>
      <c r="P3" s="5"/>
      <c r="Q3" s="4"/>
      <c r="R3" s="4"/>
      <c r="S3" s="35"/>
      <c r="T3" s="5"/>
      <c r="U3" s="4"/>
      <c r="V3" s="5"/>
      <c r="W3" s="56" t="str">
        <f t="array" ref="W3">IF(ROWS(D$2:D3)&gt;COUNTA($D$2:$D$100),"",INDEX($D$2:$D$100,SMALL(IF($D$2:$D$100&lt;&gt;"",ROW($D$2:$D$100)-ROW($D$2)+1),ROWS(W$2:W3))))</f>
        <v xml:space="preserve">Survey of medicinal plants used as antimalarials in the Amazon. J. Ethnopharmacol. </v>
      </c>
      <c r="X3" s="55"/>
      <c r="Y3" s="55"/>
    </row>
    <row r="4" spans="1:25" ht="38.25" x14ac:dyDescent="0.2">
      <c r="A4" s="4" t="s">
        <v>638</v>
      </c>
      <c r="B4" s="20" t="s">
        <v>729</v>
      </c>
      <c r="C4" s="13">
        <v>1981</v>
      </c>
      <c r="D4" s="20" t="s">
        <v>730</v>
      </c>
      <c r="E4" s="20" t="s">
        <v>731</v>
      </c>
      <c r="F4" s="13"/>
      <c r="G4" s="30" t="s">
        <v>732</v>
      </c>
      <c r="H4" s="30">
        <v>8</v>
      </c>
      <c r="I4" s="30"/>
      <c r="J4" s="13"/>
      <c r="K4" s="14"/>
      <c r="M4" s="30"/>
      <c r="S4" s="35"/>
      <c r="T4" s="5"/>
      <c r="U4" s="39"/>
      <c r="V4" s="5"/>
      <c r="W4" s="56" t="str">
        <f t="array" ref="W4">IF(ROWS(D$2:D4)&gt;COUNTA($D$2:$D$100),"",INDEX($D$2:$D$100,SMALL(IF($D$2:$D$100&lt;&gt;"",ROW($D$2:$D$100)-ROW($D$2)+1),ROWS(W$2:W4))))</f>
        <v>Quimioterapia experimental antimalarica usando a Rhamnaceae A. amazonicus Ducke, vulgarmente denominada ‘‘cervejade- indio” contra o Plasmodium berghei.</v>
      </c>
    </row>
    <row r="5" spans="1:25" ht="25.5" x14ac:dyDescent="0.2">
      <c r="A5" s="4" t="s">
        <v>638</v>
      </c>
      <c r="B5" s="20" t="s">
        <v>733</v>
      </c>
      <c r="C5" s="21">
        <v>2012</v>
      </c>
      <c r="D5" s="58" t="s">
        <v>734</v>
      </c>
      <c r="E5" s="20" t="s">
        <v>735</v>
      </c>
      <c r="F5" s="13" t="s">
        <v>30</v>
      </c>
      <c r="G5" s="30" t="s">
        <v>736</v>
      </c>
      <c r="I5" s="30"/>
      <c r="J5" s="13"/>
      <c r="K5" s="14"/>
      <c r="M5" s="30"/>
      <c r="P5" s="13" t="s">
        <v>737</v>
      </c>
      <c r="S5" s="31" t="s">
        <v>738</v>
      </c>
      <c r="T5" s="5"/>
      <c r="U5" s="31"/>
      <c r="V5" s="5"/>
      <c r="W5" s="56" t="str">
        <f t="array" ref="W5">IF(ROWS(D$2:D5)&gt;COUNTA($D$2:$D$100),"",INDEX($D$2:$D$100,SMALL(IF($D$2:$D$100&lt;&gt;"",ROW($D$2:$D$100)-ROW($D$2)+1),ROWS(W$2:W5))))</f>
        <v>Antiplasmodial and antipyretic studies on root extracts of Anthocleista djalonensis against Plasmodium berghei</v>
      </c>
    </row>
    <row r="6" spans="1:25" ht="25.5" x14ac:dyDescent="0.2">
      <c r="A6" s="4" t="s">
        <v>638</v>
      </c>
      <c r="B6" s="21" t="s">
        <v>733</v>
      </c>
      <c r="C6" s="13">
        <v>2012</v>
      </c>
      <c r="D6" s="21" t="s">
        <v>734</v>
      </c>
      <c r="E6" s="20" t="s">
        <v>735</v>
      </c>
      <c r="F6" s="13" t="s">
        <v>30</v>
      </c>
      <c r="G6" s="30" t="s">
        <v>736</v>
      </c>
      <c r="H6" s="30">
        <v>2</v>
      </c>
      <c r="I6" s="30"/>
      <c r="J6" s="13"/>
      <c r="K6" s="14"/>
      <c r="M6" s="30"/>
      <c r="P6" s="13" t="s">
        <v>737</v>
      </c>
      <c r="S6" s="31" t="s">
        <v>738</v>
      </c>
      <c r="T6" s="5"/>
      <c r="U6" s="31"/>
      <c r="V6" s="5"/>
      <c r="W6" s="56" t="str">
        <f t="array" ref="W6">IF(ROWS(D$2:D6)&gt;COUNTA($D$2:$D$100),"",INDEX($D$2:$D$100,SMALL(IF($D$2:$D$100&lt;&gt;"",ROW($D$2:$D$100)-ROW($D$2)+1),ROWS(W$2:W6))))</f>
        <v>Antiplasmodial and antipyretic studies on root extracts of Anthocleista djalonensis against Plasmodium berghei</v>
      </c>
    </row>
    <row r="7" spans="1:25" ht="25.5" x14ac:dyDescent="0.2">
      <c r="A7" s="4" t="s">
        <v>623</v>
      </c>
      <c r="B7" s="21" t="s">
        <v>739</v>
      </c>
      <c r="C7" s="13">
        <v>1954</v>
      </c>
      <c r="D7" s="21" t="s">
        <v>740</v>
      </c>
      <c r="E7" s="20"/>
      <c r="F7" s="13"/>
      <c r="I7" s="30"/>
      <c r="J7" s="13"/>
      <c r="K7" s="14"/>
      <c r="M7" s="30"/>
      <c r="S7" s="31"/>
      <c r="T7" s="5"/>
      <c r="U7" s="31"/>
      <c r="V7" s="5"/>
      <c r="W7" s="56" t="str">
        <f t="array" ref="W7">IF(ROWS(D$2:D7)&gt;COUNTA($D$2:$D$100),"",INDEX($D$2:$D$100,SMALL(IF($D$2:$D$100&lt;&gt;"",ROW($D$2:$D$100)-ROW($D$2)+1),ROWS(W$2:W7))))</f>
        <v xml:space="preserve">The useful plants of West Tropical Africa. London: Crown Agents for Overseas Colonies.        </v>
      </c>
    </row>
    <row r="8" spans="1:25" ht="25.5" x14ac:dyDescent="0.2">
      <c r="A8" s="4" t="s">
        <v>638</v>
      </c>
      <c r="B8" s="21" t="s">
        <v>741</v>
      </c>
      <c r="C8" s="13">
        <v>2003</v>
      </c>
      <c r="D8" s="20" t="s">
        <v>742</v>
      </c>
      <c r="E8" s="20" t="s">
        <v>743</v>
      </c>
      <c r="F8" s="13"/>
      <c r="G8" s="30" t="s">
        <v>744</v>
      </c>
      <c r="H8" s="30">
        <v>7</v>
      </c>
      <c r="I8" s="30"/>
      <c r="J8" s="13"/>
      <c r="K8" s="14"/>
      <c r="M8" s="30"/>
      <c r="S8" s="31"/>
      <c r="T8" s="5"/>
      <c r="U8" s="31"/>
      <c r="V8" s="5"/>
      <c r="W8" s="56" t="str">
        <f t="array" ref="W8">IF(ROWS(D$2:D8)&gt;COUNTA($D$2:$D$100),"",INDEX($D$2:$D$100,SMALL(IF($D$2:$D$100&lt;&gt;"",ROW($D$2:$D$100)-ROW($D$2)+1),ROWS(W$2:W8))))</f>
        <v>Evaluation of the in vivo antimalarial activity of ethanolic leaf and stembark extracts of Anthocleista djalonensis.</v>
      </c>
    </row>
    <row r="9" spans="1:25" ht="25.5" x14ac:dyDescent="0.2">
      <c r="A9" s="4" t="s">
        <v>638</v>
      </c>
      <c r="B9" s="13" t="s">
        <v>745</v>
      </c>
      <c r="C9" s="13">
        <v>2014</v>
      </c>
      <c r="D9" s="13" t="s">
        <v>746</v>
      </c>
      <c r="E9" s="20" t="s">
        <v>735</v>
      </c>
      <c r="F9" s="13" t="s">
        <v>30</v>
      </c>
      <c r="G9" s="30" t="s">
        <v>747</v>
      </c>
      <c r="H9" s="30">
        <v>4</v>
      </c>
      <c r="I9" s="30"/>
      <c r="J9" s="13"/>
      <c r="K9" s="14"/>
      <c r="M9" s="30"/>
      <c r="P9" s="13" t="s">
        <v>748</v>
      </c>
      <c r="S9" s="31" t="s">
        <v>749</v>
      </c>
      <c r="T9" s="5"/>
      <c r="U9" s="31"/>
      <c r="V9" s="5"/>
      <c r="W9" s="56" t="str">
        <f t="array" ref="W9">IF(ROWS(D$2:D9)&gt;COUNTA($D$2:$D$100),"",INDEX($D$2:$D$100,SMALL(IF($D$2:$D$100&lt;&gt;"",ROW($D$2:$D$100)-ROW($D$2)+1),ROWS(W$2:W9))))</f>
        <v>Antimalarial potency of the methanol leaf extract of Maerua crassifolia Forssk (Capparaceae)</v>
      </c>
    </row>
    <row r="10" spans="1:25" ht="38.25" x14ac:dyDescent="0.2">
      <c r="A10" s="4" t="s">
        <v>638</v>
      </c>
      <c r="B10" s="13" t="s">
        <v>750</v>
      </c>
      <c r="C10" s="13">
        <v>2004</v>
      </c>
      <c r="D10" s="20" t="s">
        <v>751</v>
      </c>
      <c r="E10" s="20" t="s">
        <v>752</v>
      </c>
      <c r="F10" s="13" t="s">
        <v>31</v>
      </c>
      <c r="G10" s="30" t="s">
        <v>753</v>
      </c>
      <c r="H10" s="30">
        <v>75</v>
      </c>
      <c r="I10" s="30"/>
      <c r="J10" s="13"/>
      <c r="K10" s="14"/>
      <c r="M10" s="30"/>
      <c r="S10" s="31"/>
      <c r="T10" s="5"/>
      <c r="U10" s="31"/>
      <c r="V10" s="5"/>
      <c r="W10" s="56" t="str">
        <f t="array" ref="W10">IF(ROWS(D$2:D10)&gt;COUNTA($D$2:$D$100),"",INDEX($D$2:$D$100,SMALL(IF($D$2:$D$100&lt;&gt;"",ROW($D$2:$D$100)-ROW($D$2)+1),ROWS(W$2:W10))))</f>
        <v xml:space="preserve"> Medicinal plant diversity in the flora of Saudi Arabia 1: a report on seven plant families.
</v>
      </c>
    </row>
    <row r="11" spans="1:25" ht="25.5" x14ac:dyDescent="0.2">
      <c r="A11" s="4" t="s">
        <v>638</v>
      </c>
      <c r="B11" s="13" t="s">
        <v>754</v>
      </c>
      <c r="C11" s="13">
        <v>2012</v>
      </c>
      <c r="D11" s="13" t="s">
        <v>755</v>
      </c>
      <c r="E11" s="20" t="s">
        <v>735</v>
      </c>
      <c r="F11" s="13" t="s">
        <v>37</v>
      </c>
      <c r="G11" s="30" t="s">
        <v>756</v>
      </c>
      <c r="I11" s="30"/>
      <c r="J11" s="13"/>
      <c r="K11" s="14"/>
      <c r="M11" s="30"/>
      <c r="P11" s="13" t="s">
        <v>757</v>
      </c>
      <c r="Q11" s="13">
        <v>22805716</v>
      </c>
      <c r="S11" s="31" t="s">
        <v>758</v>
      </c>
      <c r="T11" s="5"/>
      <c r="U11" s="31"/>
      <c r="V11" s="5"/>
      <c r="W11" s="56" t="str">
        <f t="array" ref="W11">IF(ROWS(D$2:D11)&gt;COUNTA($D$2:$D$100),"",INDEX($D$2:$D$100,SMALL(IF($D$2:$D$100&lt;&gt;"",ROW($D$2:$D$100)-ROW($D$2)+1),ROWS(W$2:W11))))</f>
        <v>In vivo antiplasmodial activities of ethanolic extract and fractions of Eleucine indica.</v>
      </c>
    </row>
    <row r="12" spans="1:25" ht="25.5" x14ac:dyDescent="0.2">
      <c r="A12" s="4" t="s">
        <v>638</v>
      </c>
      <c r="B12" s="13" t="s">
        <v>759</v>
      </c>
      <c r="C12" s="13">
        <v>2006</v>
      </c>
      <c r="D12" s="13" t="s">
        <v>760</v>
      </c>
      <c r="E12" s="20" t="s">
        <v>761</v>
      </c>
      <c r="F12" s="13"/>
      <c r="I12" s="30"/>
      <c r="J12" s="13"/>
      <c r="K12" s="14"/>
      <c r="M12" s="30"/>
      <c r="S12" s="31"/>
      <c r="T12" s="5"/>
      <c r="U12" s="31"/>
      <c r="V12" s="5"/>
      <c r="W12" s="56" t="str">
        <f t="array" ref="W12">IF(ROWS(D$2:D12)&gt;COUNTA($D$2:$D$100),"",INDEX($D$2:$D$100,SMALL(IF($D$2:$D$100&lt;&gt;"",ROW($D$2:$D$100)-ROW($D$2)+1),ROWS(W$2:W12))))</f>
        <v>Ethnomedicine used in Trinidad and Tobago for urinary problems ans diabetes mellitus.</v>
      </c>
    </row>
    <row r="13" spans="1:25" x14ac:dyDescent="0.2">
      <c r="E13" s="20"/>
      <c r="F13" s="13"/>
      <c r="I13" s="30"/>
      <c r="J13" s="13"/>
      <c r="K13" s="14"/>
      <c r="L13" s="21"/>
      <c r="M13" s="30"/>
      <c r="S13" s="31"/>
      <c r="T13" s="5"/>
      <c r="U13" s="31"/>
      <c r="V13" s="5"/>
      <c r="W13" s="56" t="str">
        <f t="array" ref="W13">IF(ROWS(D$2:D13)&gt;COUNTA($D$2:$D$100),"",INDEX($D$2:$D$100,SMALL(IF($D$2:$D$100&lt;&gt;"",ROW($D$2:$D$100)-ROW($D$2)+1),ROWS(W$2:W13))))</f>
        <v/>
      </c>
    </row>
    <row r="14" spans="1:25" x14ac:dyDescent="0.2">
      <c r="E14" s="20"/>
      <c r="F14" s="13"/>
      <c r="I14" s="30"/>
      <c r="J14" s="13"/>
      <c r="K14" s="14"/>
      <c r="M14" s="30"/>
      <c r="S14" s="31"/>
      <c r="T14" s="5"/>
      <c r="U14" s="31"/>
      <c r="V14" s="5"/>
      <c r="W14" s="56" t="str">
        <f t="array" ref="W14">IF(ROWS(D$2:D14)&gt;COUNTA($D$2:$D$100),"",INDEX($D$2:$D$100,SMALL(IF($D$2:$D$100&lt;&gt;"",ROW($D$2:$D$100)-ROW($D$2)+1),ROWS(W$2:W14))))</f>
        <v/>
      </c>
    </row>
    <row r="15" spans="1:25" x14ac:dyDescent="0.2">
      <c r="E15" s="20"/>
      <c r="F15" s="13"/>
      <c r="I15" s="30"/>
      <c r="J15" s="13"/>
      <c r="K15" s="14"/>
      <c r="M15" s="30"/>
      <c r="S15" s="31"/>
      <c r="T15" s="5"/>
      <c r="U15" s="31"/>
      <c r="V15" s="5"/>
      <c r="W15" s="56" t="str">
        <f t="array" ref="W15">IF(ROWS(D$2:D15)&gt;COUNTA($D$2:$D$100),"",INDEX($D$2:$D$100,SMALL(IF($D$2:$D$100&lt;&gt;"",ROW($D$2:$D$100)-ROW($D$2)+1),ROWS(W$2:W15))))</f>
        <v/>
      </c>
    </row>
    <row r="16" spans="1:25" x14ac:dyDescent="0.2">
      <c r="E16" s="20"/>
      <c r="F16" s="13"/>
      <c r="I16" s="30"/>
      <c r="J16" s="13"/>
      <c r="K16" s="14"/>
      <c r="M16" s="30"/>
      <c r="S16" s="31"/>
      <c r="T16" s="5"/>
      <c r="U16" s="31"/>
      <c r="V16" s="5"/>
      <c r="W16" s="56" t="str">
        <f t="array" ref="W16">IF(ROWS(D$2:D16)&gt;COUNTA($D$2:$D$100),"",INDEX($D$2:$D$100,SMALL(IF($D$2:$D$100&lt;&gt;"",ROW($D$2:$D$100)-ROW($D$2)+1),ROWS(W$2:W16))))</f>
        <v/>
      </c>
    </row>
    <row r="17" spans="5:23" x14ac:dyDescent="0.2">
      <c r="E17" s="20"/>
      <c r="F17" s="13"/>
      <c r="I17" s="30"/>
      <c r="J17" s="13"/>
      <c r="K17" s="14"/>
      <c r="M17" s="30"/>
      <c r="S17" s="31"/>
      <c r="T17" s="5"/>
      <c r="U17" s="31"/>
      <c r="V17" s="5"/>
      <c r="W17" s="56" t="str">
        <f t="array" ref="W17">IF(ROWS(D$2:D17)&gt;COUNTA($D$2:$D$100),"",INDEX($D$2:$D$100,SMALL(IF($D$2:$D$100&lt;&gt;"",ROW($D$2:$D$100)-ROW($D$2)+1),ROWS(W$2:W17))))</f>
        <v/>
      </c>
    </row>
    <row r="18" spans="5:23" x14ac:dyDescent="0.2">
      <c r="E18" s="20"/>
      <c r="F18" s="13"/>
      <c r="I18" s="30"/>
      <c r="J18" s="13"/>
      <c r="K18" s="14"/>
      <c r="M18" s="30"/>
      <c r="S18" s="31"/>
      <c r="T18" s="5"/>
      <c r="U18" s="31"/>
      <c r="V18" s="5"/>
      <c r="W18" s="56" t="str">
        <f t="array" ref="W18">IF(ROWS(D$2:D18)&gt;COUNTA($D$2:$D$100),"",INDEX($D$2:$D$100,SMALL(IF($D$2:$D$100&lt;&gt;"",ROW($D$2:$D$100)-ROW($D$2)+1),ROWS(W$2:W18))))</f>
        <v/>
      </c>
    </row>
    <row r="19" spans="5:23" x14ac:dyDescent="0.2">
      <c r="E19" s="20"/>
      <c r="F19" s="13"/>
      <c r="I19" s="30"/>
      <c r="J19" s="13"/>
      <c r="K19" s="14"/>
      <c r="M19" s="30"/>
      <c r="S19" s="31"/>
      <c r="T19" s="5"/>
      <c r="U19" s="31"/>
      <c r="V19" s="5"/>
      <c r="W19" s="56" t="str">
        <f t="array" ref="W19">IF(ROWS(D$2:D19)&gt;COUNTA($D$2:$D$100),"",INDEX($D$2:$D$100,SMALL(IF($D$2:$D$100&lt;&gt;"",ROW($D$2:$D$100)-ROW($D$2)+1),ROWS(W$2:W19))))</f>
        <v/>
      </c>
    </row>
    <row r="20" spans="5:23" x14ac:dyDescent="0.2">
      <c r="E20" s="4"/>
      <c r="F20" s="13"/>
      <c r="I20" s="30"/>
      <c r="J20" s="13"/>
      <c r="K20" s="14"/>
      <c r="M20" s="30"/>
      <c r="S20" s="31"/>
      <c r="T20" s="5"/>
      <c r="U20" s="31"/>
      <c r="V20" s="5"/>
      <c r="W20" s="56" t="str">
        <f t="array" ref="W20">IF(ROWS(D$2:D20)&gt;COUNTA($D$2:$D$100),"",INDEX($D$2:$D$100,SMALL(IF($D$2:$D$100&lt;&gt;"",ROW($D$2:$D$100)-ROW($D$2)+1),ROWS(W$2:W20))))</f>
        <v/>
      </c>
    </row>
    <row r="21" spans="5:23" x14ac:dyDescent="0.2">
      <c r="E21" s="4"/>
      <c r="F21" s="13"/>
      <c r="I21" s="30"/>
      <c r="J21" s="13"/>
      <c r="K21" s="14"/>
      <c r="M21" s="30"/>
      <c r="S21" s="31"/>
      <c r="T21" s="5"/>
      <c r="U21" s="31"/>
      <c r="V21" s="5"/>
      <c r="W21" s="56" t="str">
        <f t="array" ref="W21">IF(ROWS(D$2:D21)&gt;COUNTA($D$2:$D$100),"",INDEX($D$2:$D$100,SMALL(IF($D$2:$D$100&lt;&gt;"",ROW($D$2:$D$100)-ROW($D$2)+1),ROWS(W$2:W21))))</f>
        <v/>
      </c>
    </row>
    <row r="22" spans="5:23" x14ac:dyDescent="0.2">
      <c r="F22" s="13"/>
      <c r="I22" s="30"/>
      <c r="J22" s="13"/>
      <c r="K22" s="14"/>
      <c r="M22" s="30"/>
      <c r="S22" s="31"/>
      <c r="T22" s="5"/>
      <c r="U22" s="31"/>
      <c r="V22" s="5"/>
      <c r="W22" s="56" t="str">
        <f t="array" ref="W22">IF(ROWS(D$2:D22)&gt;COUNTA($D$2:$D$100),"",INDEX($D$2:$D$100,SMALL(IF($D$2:$D$100&lt;&gt;"",ROW($D$2:$D$100)-ROW($D$2)+1),ROWS(W$2:W22))))</f>
        <v/>
      </c>
    </row>
    <row r="23" spans="5:23" x14ac:dyDescent="0.2">
      <c r="F23" s="13"/>
      <c r="I23" s="30"/>
      <c r="J23" s="13"/>
      <c r="K23" s="14"/>
      <c r="M23" s="30"/>
      <c r="S23" s="31"/>
      <c r="T23" s="5"/>
      <c r="U23" s="31"/>
      <c r="V23" s="5"/>
      <c r="W23" s="56" t="str">
        <f t="array" ref="W23">IF(ROWS(D$2:D23)&gt;COUNTA($D$2:$D$100),"",INDEX($D$2:$D$100,SMALL(IF($D$2:$D$100&lt;&gt;"",ROW($D$2:$D$100)-ROW($D$2)+1),ROWS(W$2:W23))))</f>
        <v/>
      </c>
    </row>
    <row r="24" spans="5:23" x14ac:dyDescent="0.2">
      <c r="F24" s="13"/>
      <c r="I24" s="30"/>
      <c r="J24" s="13"/>
      <c r="K24" s="14"/>
      <c r="M24" s="30"/>
      <c r="S24" s="31"/>
      <c r="T24" s="5"/>
      <c r="U24" s="31"/>
      <c r="V24" s="5"/>
      <c r="W24" s="56" t="str">
        <f t="array" ref="W24">IF(ROWS(D$2:D24)&gt;COUNTA($D$2:$D$100),"",INDEX($D$2:$D$100,SMALL(IF($D$2:$D$100&lt;&gt;"",ROW($D$2:$D$100)-ROW($D$2)+1),ROWS(W$2:W24))))</f>
        <v/>
      </c>
    </row>
    <row r="25" spans="5:23" x14ac:dyDescent="0.2">
      <c r="F25" s="13"/>
      <c r="I25" s="30"/>
      <c r="J25" s="13"/>
      <c r="K25" s="14"/>
      <c r="M25" s="30"/>
      <c r="S25" s="31"/>
      <c r="T25" s="5"/>
      <c r="U25" s="31"/>
      <c r="V25" s="5"/>
      <c r="W25" s="56" t="str">
        <f t="array" ref="W25">IF(ROWS(D$2:D25)&gt;COUNTA($D$2:$D$100),"",INDEX($D$2:$D$100,SMALL(IF($D$2:$D$100&lt;&gt;"",ROW($D$2:$D$100)-ROW($D$2)+1),ROWS(W$2:W25))))</f>
        <v/>
      </c>
    </row>
    <row r="26" spans="5:23" x14ac:dyDescent="0.2">
      <c r="F26" s="13"/>
      <c r="I26" s="30"/>
      <c r="J26" s="13"/>
      <c r="K26" s="14"/>
      <c r="M26" s="30"/>
      <c r="S26" s="31"/>
      <c r="T26" s="5"/>
      <c r="U26" s="31"/>
      <c r="V26" s="5"/>
      <c r="W26" s="56" t="str">
        <f t="array" ref="W26">IF(ROWS(D$2:D26)&gt;COUNTA($D$2:$D$100),"",INDEX($D$2:$D$100,SMALL(IF($D$2:$D$100&lt;&gt;"",ROW($D$2:$D$100)-ROW($D$2)+1),ROWS(W$2:W26))))</f>
        <v/>
      </c>
    </row>
    <row r="27" spans="5:23" x14ac:dyDescent="0.2">
      <c r="F27" s="13"/>
      <c r="I27" s="30"/>
      <c r="J27" s="13"/>
      <c r="K27" s="14"/>
      <c r="M27" s="30"/>
      <c r="S27" s="31"/>
      <c r="T27" s="5"/>
      <c r="U27" s="31"/>
      <c r="V27" s="5"/>
      <c r="W27" s="56" t="str">
        <f t="array" ref="W27">IF(ROWS(D$2:D27)&gt;COUNTA($D$2:$D$100),"",INDEX($D$2:$D$100,SMALL(IF($D$2:$D$100&lt;&gt;"",ROW($D$2:$D$100)-ROW($D$2)+1),ROWS(W$2:W27))))</f>
        <v/>
      </c>
    </row>
    <row r="28" spans="5:23" x14ac:dyDescent="0.2">
      <c r="F28" s="13"/>
      <c r="I28" s="30"/>
      <c r="J28" s="13"/>
      <c r="K28" s="14"/>
      <c r="M28" s="30"/>
      <c r="S28" s="31"/>
      <c r="T28" s="5"/>
      <c r="U28" s="31"/>
      <c r="V28" s="5"/>
      <c r="W28" s="56" t="str">
        <f t="array" ref="W28">IF(ROWS(D$2:D28)&gt;COUNTA($D$2:$D$100),"",INDEX($D$2:$D$100,SMALL(IF($D$2:$D$100&lt;&gt;"",ROW($D$2:$D$100)-ROW($D$2)+1),ROWS(W$2:W28))))</f>
        <v/>
      </c>
    </row>
    <row r="29" spans="5:23" x14ac:dyDescent="0.2">
      <c r="F29" s="13"/>
      <c r="I29" s="30"/>
      <c r="J29" s="13"/>
      <c r="K29" s="14"/>
      <c r="M29" s="30"/>
      <c r="S29" s="31"/>
      <c r="T29" s="5"/>
      <c r="U29" s="31"/>
      <c r="V29" s="5"/>
      <c r="W29" s="56" t="str">
        <f t="array" ref="W29">IF(ROWS(D$2:D29)&gt;COUNTA($D$2:$D$100),"",INDEX($D$2:$D$100,SMALL(IF($D$2:$D$100&lt;&gt;"",ROW($D$2:$D$100)-ROW($D$2)+1),ROWS(W$2:W29))))</f>
        <v/>
      </c>
    </row>
    <row r="30" spans="5:23" x14ac:dyDescent="0.2">
      <c r="F30" s="13"/>
      <c r="I30" s="30"/>
      <c r="J30" s="13"/>
      <c r="K30" s="14"/>
      <c r="M30" s="30"/>
      <c r="S30" s="31"/>
      <c r="T30" s="5"/>
      <c r="U30" s="31"/>
      <c r="V30" s="5"/>
      <c r="W30" s="56" t="str">
        <f t="array" ref="W30">IF(ROWS(D$2:D30)&gt;COUNTA($D$2:$D$100),"",INDEX($D$2:$D$100,SMALL(IF($D$2:$D$100&lt;&gt;"",ROW($D$2:$D$100)-ROW($D$2)+1),ROWS(W$2:W30))))</f>
        <v/>
      </c>
    </row>
    <row r="31" spans="5:23" x14ac:dyDescent="0.2">
      <c r="F31" s="13"/>
      <c r="I31" s="30"/>
      <c r="J31" s="13"/>
      <c r="K31" s="14"/>
      <c r="M31" s="30"/>
      <c r="S31" s="31"/>
      <c r="T31" s="5"/>
      <c r="U31" s="31"/>
      <c r="V31" s="5"/>
      <c r="W31" s="56" t="str">
        <f t="array" ref="W31">IF(ROWS(D$2:D31)&gt;COUNTA($D$2:$D$100),"",INDEX($D$2:$D$100,SMALL(IF($D$2:$D$100&lt;&gt;"",ROW($D$2:$D$100)-ROW($D$2)+1),ROWS(W$2:W31))))</f>
        <v/>
      </c>
    </row>
    <row r="32" spans="5:23" x14ac:dyDescent="0.2">
      <c r="F32" s="13"/>
      <c r="I32" s="30"/>
      <c r="J32" s="13"/>
      <c r="K32" s="14"/>
      <c r="M32" s="30"/>
      <c r="S32" s="31"/>
      <c r="T32" s="5"/>
      <c r="U32" s="31"/>
      <c r="V32" s="5"/>
      <c r="W32" s="56" t="str">
        <f t="array" ref="W32">IF(ROWS(D$2:D32)&gt;COUNTA($D$2:$D$100),"",INDEX($D$2:$D$100,SMALL(IF($D$2:$D$100&lt;&gt;"",ROW($D$2:$D$100)-ROW($D$2)+1),ROWS(W$2:W32))))</f>
        <v/>
      </c>
    </row>
    <row r="33" spans="6:23" x14ac:dyDescent="0.2">
      <c r="F33" s="13"/>
      <c r="I33" s="30"/>
      <c r="J33" s="13"/>
      <c r="K33" s="14"/>
      <c r="M33" s="30"/>
      <c r="S33" s="31"/>
      <c r="T33" s="5"/>
      <c r="U33" s="31"/>
      <c r="V33" s="5"/>
      <c r="W33" s="56" t="str">
        <f t="array" ref="W33">IF(ROWS(D$2:D33)&gt;COUNTA($D$2:$D$100),"",INDEX($D$2:$D$100,SMALL(IF($D$2:$D$100&lt;&gt;"",ROW($D$2:$D$100)-ROW($D$2)+1),ROWS(W$2:W33))))</f>
        <v/>
      </c>
    </row>
    <row r="34" spans="6:23" x14ac:dyDescent="0.2">
      <c r="F34" s="13"/>
      <c r="I34" s="30"/>
      <c r="J34" s="13"/>
      <c r="K34" s="14"/>
      <c r="M34" s="30"/>
      <c r="S34" s="31"/>
      <c r="T34" s="5"/>
      <c r="U34" s="31"/>
      <c r="V34" s="5"/>
      <c r="W34" s="56" t="str">
        <f t="array" ref="W34">IF(ROWS(D$2:D34)&gt;COUNTA($D$2:$D$100),"",INDEX($D$2:$D$100,SMALL(IF($D$2:$D$100&lt;&gt;"",ROW($D$2:$D$100)-ROW($D$2)+1),ROWS(W$2:W34))))</f>
        <v/>
      </c>
    </row>
    <row r="35" spans="6:23" x14ac:dyDescent="0.2">
      <c r="F35" s="13"/>
      <c r="I35" s="30"/>
      <c r="J35" s="13"/>
      <c r="K35" s="14"/>
      <c r="M35" s="30"/>
      <c r="S35" s="31"/>
      <c r="T35" s="5"/>
      <c r="U35" s="31"/>
      <c r="V35" s="5"/>
      <c r="W35" s="56" t="str">
        <f t="array" ref="W35">IF(ROWS(D$2:D35)&gt;COUNTA($D$2:$D$100),"",INDEX($D$2:$D$100,SMALL(IF($D$2:$D$100&lt;&gt;"",ROW($D$2:$D$100)-ROW($D$2)+1),ROWS(W$2:W35))))</f>
        <v/>
      </c>
    </row>
    <row r="36" spans="6:23" x14ac:dyDescent="0.2">
      <c r="F36" s="13"/>
      <c r="I36" s="30"/>
      <c r="J36" s="13"/>
      <c r="K36" s="14"/>
      <c r="M36" s="30"/>
      <c r="S36" s="31"/>
      <c r="T36" s="5"/>
      <c r="U36" s="31"/>
      <c r="V36" s="5"/>
      <c r="W36" s="56" t="str">
        <f t="array" ref="W36">IF(ROWS(D$2:D36)&gt;COUNTA($D$2:$D$100),"",INDEX($D$2:$D$100,SMALL(IF($D$2:$D$100&lt;&gt;"",ROW($D$2:$D$100)-ROW($D$2)+1),ROWS(W$2:W36))))</f>
        <v/>
      </c>
    </row>
    <row r="37" spans="6:23" x14ac:dyDescent="0.2">
      <c r="F37" s="13"/>
      <c r="I37" s="30"/>
      <c r="J37" s="13"/>
      <c r="K37" s="14"/>
      <c r="M37" s="30"/>
      <c r="S37" s="31"/>
      <c r="T37" s="5"/>
      <c r="U37" s="31"/>
      <c r="V37" s="5"/>
      <c r="W37" s="56" t="str">
        <f t="array" ref="W37">IF(ROWS(D$2:D37)&gt;COUNTA($D$2:$D$100),"",INDEX($D$2:$D$100,SMALL(IF($D$2:$D$100&lt;&gt;"",ROW($D$2:$D$100)-ROW($D$2)+1),ROWS(W$2:W37))))</f>
        <v/>
      </c>
    </row>
    <row r="38" spans="6:23" x14ac:dyDescent="0.2">
      <c r="F38" s="13"/>
      <c r="I38" s="30"/>
      <c r="J38" s="13"/>
      <c r="K38" s="14"/>
      <c r="M38" s="30"/>
      <c r="S38" s="31"/>
      <c r="T38" s="5"/>
      <c r="U38" s="31"/>
      <c r="V38" s="5"/>
      <c r="W38" s="56" t="str">
        <f t="array" ref="W38">IF(ROWS(D$2:D38)&gt;COUNTA($D$2:$D$100),"",INDEX($D$2:$D$100,SMALL(IF($D$2:$D$100&lt;&gt;"",ROW($D$2:$D$100)-ROW($D$2)+1),ROWS(W$2:W38))))</f>
        <v/>
      </c>
    </row>
    <row r="39" spans="6:23" x14ac:dyDescent="0.2">
      <c r="F39" s="13"/>
      <c r="I39" s="30"/>
      <c r="J39" s="13"/>
      <c r="K39" s="14"/>
      <c r="M39" s="30"/>
      <c r="S39" s="31"/>
      <c r="T39" s="5"/>
      <c r="U39" s="31"/>
      <c r="V39" s="5"/>
      <c r="W39" s="56" t="str">
        <f t="array" ref="W39">IF(ROWS(D$2:D39)&gt;COUNTA($D$2:$D$100),"",INDEX($D$2:$D$100,SMALL(IF($D$2:$D$100&lt;&gt;"",ROW($D$2:$D$100)-ROW($D$2)+1),ROWS(W$2:W39))))</f>
        <v/>
      </c>
    </row>
    <row r="40" spans="6:23" x14ac:dyDescent="0.2">
      <c r="F40" s="13"/>
      <c r="I40" s="30"/>
      <c r="J40" s="13"/>
      <c r="K40" s="14"/>
      <c r="M40" s="30"/>
      <c r="S40" s="31"/>
      <c r="T40" s="5"/>
      <c r="U40" s="31"/>
      <c r="V40" s="5"/>
      <c r="W40" s="56" t="str">
        <f t="array" ref="W40">IF(ROWS(D$2:D40)&gt;COUNTA($D$2:$D$100),"",INDEX($D$2:$D$100,SMALL(IF($D$2:$D$100&lt;&gt;"",ROW($D$2:$D$100)-ROW($D$2)+1),ROWS(W$2:W40))))</f>
        <v/>
      </c>
    </row>
    <row r="41" spans="6:23" x14ac:dyDescent="0.2">
      <c r="F41" s="13"/>
      <c r="I41" s="30"/>
      <c r="J41" s="13"/>
      <c r="K41" s="14"/>
      <c r="M41" s="30"/>
      <c r="S41" s="31"/>
      <c r="T41" s="5"/>
      <c r="U41" s="31"/>
      <c r="V41" s="5"/>
      <c r="W41" s="56" t="str">
        <f t="array" ref="W41">IF(ROWS(D$2:D41)&gt;COUNTA($D$2:$D$100),"",INDEX($D$2:$D$100,SMALL(IF($D$2:$D$100&lt;&gt;"",ROW($D$2:$D$100)-ROW($D$2)+1),ROWS(W$2:W41))))</f>
        <v/>
      </c>
    </row>
    <row r="42" spans="6:23" x14ac:dyDescent="0.2">
      <c r="F42" s="13"/>
      <c r="I42" s="30"/>
      <c r="J42" s="13"/>
      <c r="K42" s="14"/>
      <c r="M42" s="30"/>
      <c r="S42" s="31"/>
      <c r="T42" s="5"/>
      <c r="U42" s="31"/>
      <c r="V42" s="5"/>
      <c r="W42" s="56" t="str">
        <f t="array" ref="W42">IF(ROWS(D$2:D42)&gt;COUNTA($D$2:$D$100),"",INDEX($D$2:$D$100,SMALL(IF($D$2:$D$100&lt;&gt;"",ROW($D$2:$D$100)-ROW($D$2)+1),ROWS(W$2:W42))))</f>
        <v/>
      </c>
    </row>
    <row r="43" spans="6:23" x14ac:dyDescent="0.2">
      <c r="F43" s="13"/>
      <c r="I43" s="30"/>
      <c r="J43" s="13"/>
      <c r="K43" s="14"/>
      <c r="M43" s="30"/>
      <c r="S43" s="31"/>
      <c r="T43" s="5"/>
      <c r="U43" s="31"/>
      <c r="V43" s="5"/>
      <c r="W43" s="56" t="str">
        <f t="array" ref="W43">IF(ROWS(D$2:D43)&gt;COUNTA($D$2:$D$100),"",INDEX($D$2:$D$100,SMALL(IF($D$2:$D$100&lt;&gt;"",ROW($D$2:$D$100)-ROW($D$2)+1),ROWS(W$2:W43))))</f>
        <v/>
      </c>
    </row>
    <row r="44" spans="6:23" x14ac:dyDescent="0.2">
      <c r="F44" s="13"/>
      <c r="I44" s="30"/>
      <c r="J44" s="13"/>
      <c r="K44" s="14"/>
      <c r="M44" s="30"/>
      <c r="S44" s="31"/>
      <c r="T44" s="5"/>
      <c r="U44" s="31"/>
      <c r="V44" s="5"/>
      <c r="W44" s="56" t="str">
        <f t="array" ref="W44">IF(ROWS(D$2:D44)&gt;COUNTA($D$2:$D$100),"",INDEX($D$2:$D$100,SMALL(IF($D$2:$D$100&lt;&gt;"",ROW($D$2:$D$100)-ROW($D$2)+1),ROWS(W$2:W44))))</f>
        <v/>
      </c>
    </row>
    <row r="45" spans="6:23" x14ac:dyDescent="0.2">
      <c r="F45" s="13"/>
      <c r="I45" s="30"/>
      <c r="J45" s="13"/>
      <c r="K45" s="14"/>
      <c r="M45" s="30"/>
      <c r="S45" s="31"/>
      <c r="T45" s="5"/>
      <c r="U45" s="31"/>
      <c r="V45" s="5"/>
      <c r="W45" s="56" t="str">
        <f t="array" ref="W45">IF(ROWS(D$2:D45)&gt;COUNTA($D$2:$D$100),"",INDEX($D$2:$D$100,SMALL(IF($D$2:$D$100&lt;&gt;"",ROW($D$2:$D$100)-ROW($D$2)+1),ROWS(W$2:W45))))</f>
        <v/>
      </c>
    </row>
    <row r="46" spans="6:23" x14ac:dyDescent="0.2">
      <c r="F46" s="13"/>
      <c r="I46" s="30"/>
      <c r="J46" s="13"/>
      <c r="K46" s="14"/>
      <c r="M46" s="30"/>
      <c r="S46" s="31"/>
      <c r="T46" s="5"/>
      <c r="U46" s="31"/>
      <c r="V46" s="5"/>
      <c r="W46" s="56" t="str">
        <f t="array" ref="W46">IF(ROWS(D$2:D46)&gt;COUNTA($D$2:$D$100),"",INDEX($D$2:$D$100,SMALL(IF($D$2:$D$100&lt;&gt;"",ROW($D$2:$D$100)-ROW($D$2)+1),ROWS(W$2:W46))))</f>
        <v/>
      </c>
    </row>
    <row r="47" spans="6:23" x14ac:dyDescent="0.2">
      <c r="F47" s="13"/>
      <c r="I47" s="30"/>
      <c r="J47" s="13"/>
      <c r="K47" s="14"/>
      <c r="M47" s="30"/>
      <c r="S47" s="31"/>
      <c r="T47" s="5"/>
      <c r="U47" s="31"/>
      <c r="V47" s="5"/>
      <c r="W47" s="56" t="str">
        <f t="array" ref="W47">IF(ROWS(D$2:D47)&gt;COUNTA($D$2:$D$100),"",INDEX($D$2:$D$100,SMALL(IF($D$2:$D$100&lt;&gt;"",ROW($D$2:$D$100)-ROW($D$2)+1),ROWS(W$2:W47))))</f>
        <v/>
      </c>
    </row>
    <row r="48" spans="6:23" x14ac:dyDescent="0.2">
      <c r="F48" s="13"/>
      <c r="I48" s="30"/>
      <c r="J48" s="13"/>
      <c r="K48" s="14"/>
      <c r="M48" s="30"/>
      <c r="S48" s="31"/>
      <c r="T48" s="5"/>
      <c r="U48" s="31"/>
      <c r="V48" s="5"/>
      <c r="W48" s="56" t="str">
        <f t="array" ref="W48">IF(ROWS(D$2:D48)&gt;COUNTA($D$2:$D$100),"",INDEX($D$2:$D$100,SMALL(IF($D$2:$D$100&lt;&gt;"",ROW($D$2:$D$100)-ROW($D$2)+1),ROWS(W$2:W48))))</f>
        <v/>
      </c>
    </row>
    <row r="49" spans="6:23" x14ac:dyDescent="0.2">
      <c r="F49" s="13"/>
      <c r="I49" s="30"/>
      <c r="J49" s="13"/>
      <c r="K49" s="14"/>
      <c r="M49" s="30"/>
      <c r="S49" s="31"/>
      <c r="T49" s="5"/>
      <c r="U49" s="31"/>
      <c r="V49" s="5"/>
      <c r="W49" s="56" t="str">
        <f t="array" ref="W49">IF(ROWS(D$2:D49)&gt;COUNTA($D$2:$D$100),"",INDEX($D$2:$D$100,SMALL(IF($D$2:$D$100&lt;&gt;"",ROW($D$2:$D$100)-ROW($D$2)+1),ROWS(W$2:W49))))</f>
        <v/>
      </c>
    </row>
    <row r="50" spans="6:23" x14ac:dyDescent="0.2">
      <c r="F50" s="13"/>
      <c r="I50" s="30"/>
      <c r="J50" s="13"/>
      <c r="K50" s="14"/>
      <c r="M50" s="30"/>
      <c r="S50" s="31"/>
      <c r="T50" s="5"/>
      <c r="U50" s="31"/>
      <c r="V50" s="5"/>
      <c r="W50" s="56" t="str">
        <f t="array" ref="W50">IF(ROWS(D$2:D50)&gt;COUNTA($D$2:$D$100),"",INDEX($D$2:$D$100,SMALL(IF($D$2:$D$100&lt;&gt;"",ROW($D$2:$D$100)-ROW($D$2)+1),ROWS(W$2:W50))))</f>
        <v/>
      </c>
    </row>
    <row r="51" spans="6:23" x14ac:dyDescent="0.2">
      <c r="F51" s="13"/>
      <c r="I51" s="30"/>
      <c r="J51" s="13"/>
      <c r="K51" s="14"/>
      <c r="M51" s="30"/>
      <c r="S51" s="31"/>
      <c r="T51" s="5"/>
      <c r="U51" s="31"/>
      <c r="V51" s="5"/>
      <c r="W51" s="56" t="str">
        <f t="array" ref="W51">IF(ROWS(D$2:D51)&gt;COUNTA($D$2:$D$100),"",INDEX($D$2:$D$100,SMALL(IF($D$2:$D$100&lt;&gt;"",ROW($D$2:$D$100)-ROW($D$2)+1),ROWS(W$2:W51))))</f>
        <v/>
      </c>
    </row>
    <row r="52" spans="6:23" x14ac:dyDescent="0.2">
      <c r="F52" s="13"/>
      <c r="I52" s="30"/>
      <c r="J52" s="13"/>
      <c r="K52" s="14"/>
      <c r="M52" s="30"/>
      <c r="S52" s="31"/>
      <c r="T52" s="5"/>
      <c r="U52" s="31"/>
      <c r="V52" s="5"/>
      <c r="W52" s="56" t="str">
        <f t="array" ref="W52">IF(ROWS(D$2:D52)&gt;COUNTA($D$2:$D$100),"",INDEX($D$2:$D$100,SMALL(IF($D$2:$D$100&lt;&gt;"",ROW($D$2:$D$100)-ROW($D$2)+1),ROWS(W$2:W52))))</f>
        <v/>
      </c>
    </row>
    <row r="53" spans="6:23" x14ac:dyDescent="0.2">
      <c r="F53" s="13"/>
      <c r="I53" s="30"/>
      <c r="J53" s="13"/>
      <c r="K53" s="14"/>
      <c r="M53" s="30"/>
      <c r="S53" s="31"/>
      <c r="T53" s="5"/>
      <c r="U53" s="31"/>
      <c r="V53" s="5"/>
      <c r="W53" s="56" t="str">
        <f t="array" ref="W53">IF(ROWS(D$2:D53)&gt;COUNTA($D$2:$D$100),"",INDEX($D$2:$D$100,SMALL(IF($D$2:$D$100&lt;&gt;"",ROW($D$2:$D$100)-ROW($D$2)+1),ROWS(W$2:W53))))</f>
        <v/>
      </c>
    </row>
    <row r="54" spans="6:23" x14ac:dyDescent="0.2">
      <c r="F54" s="13"/>
      <c r="I54" s="30"/>
      <c r="J54" s="13"/>
      <c r="K54" s="14"/>
      <c r="M54" s="30"/>
      <c r="S54" s="31"/>
      <c r="T54" s="5"/>
      <c r="U54" s="31"/>
      <c r="V54" s="5"/>
      <c r="W54" s="56" t="str">
        <f t="array" ref="W54">IF(ROWS(D$2:D54)&gt;COUNTA($D$2:$D$100),"",INDEX($D$2:$D$100,SMALL(IF($D$2:$D$100&lt;&gt;"",ROW($D$2:$D$100)-ROW($D$2)+1),ROWS(W$2:W54))))</f>
        <v/>
      </c>
    </row>
    <row r="55" spans="6:23" x14ac:dyDescent="0.2">
      <c r="F55" s="13"/>
      <c r="I55" s="30"/>
      <c r="J55" s="13"/>
      <c r="K55" s="14"/>
      <c r="M55" s="30"/>
      <c r="S55" s="31"/>
      <c r="T55" s="5"/>
      <c r="U55" s="31"/>
      <c r="V55" s="5"/>
      <c r="W55" s="56" t="str">
        <f t="array" ref="W55">IF(ROWS(D$2:D55)&gt;COUNTA($D$2:$D$100),"",INDEX($D$2:$D$100,SMALL(IF($D$2:$D$100&lt;&gt;"",ROW($D$2:$D$100)-ROW($D$2)+1),ROWS(W$2:W55))))</f>
        <v/>
      </c>
    </row>
    <row r="56" spans="6:23" x14ac:dyDescent="0.2">
      <c r="F56" s="13"/>
      <c r="I56" s="30"/>
      <c r="J56" s="13"/>
      <c r="K56" s="14"/>
      <c r="M56" s="30"/>
      <c r="S56" s="31"/>
      <c r="T56" s="5"/>
      <c r="U56" s="31"/>
      <c r="V56" s="5"/>
      <c r="W56" s="56" t="str">
        <f t="array" ref="W56">IF(ROWS(D$2:D56)&gt;COUNTA($D$2:$D$100),"",INDEX($D$2:$D$100,SMALL(IF($D$2:$D$100&lt;&gt;"",ROW($D$2:$D$100)-ROW($D$2)+1),ROWS(W$2:W56))))</f>
        <v/>
      </c>
    </row>
    <row r="57" spans="6:23" x14ac:dyDescent="0.2">
      <c r="F57" s="13"/>
      <c r="I57" s="30"/>
      <c r="J57" s="13"/>
      <c r="K57" s="14"/>
      <c r="M57" s="30"/>
      <c r="S57" s="31"/>
      <c r="T57" s="5"/>
      <c r="U57" s="31"/>
      <c r="V57" s="5"/>
      <c r="W57" s="56" t="str">
        <f t="array" ref="W57">IF(ROWS(D$2:D57)&gt;COUNTA($D$2:$D$100),"",INDEX($D$2:$D$100,SMALL(IF($D$2:$D$100&lt;&gt;"",ROW($D$2:$D$100)-ROW($D$2)+1),ROWS(W$2:W57))))</f>
        <v/>
      </c>
    </row>
    <row r="58" spans="6:23" x14ac:dyDescent="0.2">
      <c r="F58" s="13"/>
      <c r="I58" s="30"/>
      <c r="J58" s="13"/>
      <c r="K58" s="14"/>
      <c r="M58" s="30"/>
      <c r="S58" s="31"/>
      <c r="T58" s="5"/>
      <c r="U58" s="31"/>
      <c r="V58" s="5"/>
      <c r="W58" s="56" t="str">
        <f t="array" ref="W58">IF(ROWS(D$2:D58)&gt;COUNTA($D$2:$D$100),"",INDEX($D$2:$D$100,SMALL(IF($D$2:$D$100&lt;&gt;"",ROW($D$2:$D$100)-ROW($D$2)+1),ROWS(W$2:W58))))</f>
        <v/>
      </c>
    </row>
    <row r="59" spans="6:23" x14ac:dyDescent="0.2">
      <c r="F59" s="13"/>
      <c r="I59" s="30"/>
      <c r="J59" s="13"/>
      <c r="K59" s="14"/>
      <c r="M59" s="30"/>
      <c r="S59" s="31"/>
      <c r="T59" s="5"/>
      <c r="U59" s="31"/>
      <c r="V59" s="5"/>
      <c r="W59" s="56" t="str">
        <f t="array" ref="W59">IF(ROWS(D$2:D59)&gt;COUNTA($D$2:$D$100),"",INDEX($D$2:$D$100,SMALL(IF($D$2:$D$100&lt;&gt;"",ROW($D$2:$D$100)-ROW($D$2)+1),ROWS(W$2:W59))))</f>
        <v/>
      </c>
    </row>
    <row r="60" spans="6:23" x14ac:dyDescent="0.2">
      <c r="F60" s="13"/>
      <c r="I60" s="30"/>
      <c r="J60" s="13"/>
      <c r="K60" s="14"/>
      <c r="M60" s="30"/>
      <c r="S60" s="31"/>
      <c r="T60" s="5"/>
      <c r="U60" s="31"/>
      <c r="V60" s="5"/>
      <c r="W60" s="56" t="str">
        <f t="array" ref="W60">IF(ROWS(D$2:D60)&gt;COUNTA($D$2:$D$100),"",INDEX($D$2:$D$100,SMALL(IF($D$2:$D$100&lt;&gt;"",ROW($D$2:$D$100)-ROW($D$2)+1),ROWS(W$2:W60))))</f>
        <v/>
      </c>
    </row>
    <row r="61" spans="6:23" x14ac:dyDescent="0.2">
      <c r="F61" s="13"/>
      <c r="I61" s="30"/>
      <c r="J61" s="13"/>
      <c r="K61" s="14"/>
      <c r="M61" s="30"/>
      <c r="S61" s="31"/>
      <c r="T61" s="5"/>
      <c r="U61" s="31"/>
      <c r="V61" s="5"/>
      <c r="W61" s="56" t="str">
        <f t="array" ref="W61">IF(ROWS(D$2:D61)&gt;COUNTA($D$2:$D$100),"",INDEX($D$2:$D$100,SMALL(IF($D$2:$D$100&lt;&gt;"",ROW($D$2:$D$100)-ROW($D$2)+1),ROWS(W$2:W61))))</f>
        <v/>
      </c>
    </row>
    <row r="62" spans="6:23" x14ac:dyDescent="0.2">
      <c r="F62" s="13"/>
      <c r="I62" s="30"/>
      <c r="J62" s="13"/>
      <c r="K62" s="14"/>
      <c r="M62" s="30"/>
      <c r="S62" s="31"/>
      <c r="T62" s="5"/>
      <c r="U62" s="31"/>
      <c r="V62" s="5"/>
      <c r="W62" s="56" t="str">
        <f t="array" ref="W62">IF(ROWS(D$2:D62)&gt;COUNTA($D$2:$D$100),"",INDEX($D$2:$D$100,SMALL(IF($D$2:$D$100&lt;&gt;"",ROW($D$2:$D$100)-ROW($D$2)+1),ROWS(W$2:W62))))</f>
        <v/>
      </c>
    </row>
    <row r="63" spans="6:23" x14ac:dyDescent="0.2">
      <c r="F63" s="13"/>
      <c r="I63" s="30"/>
      <c r="J63" s="13"/>
      <c r="K63" s="14"/>
      <c r="M63" s="30"/>
      <c r="S63" s="31"/>
      <c r="T63" s="5"/>
      <c r="U63" s="31"/>
      <c r="V63" s="5"/>
      <c r="W63" s="56" t="str">
        <f t="array" ref="W63">IF(ROWS(D$2:D63)&gt;COUNTA($D$2:$D$100),"",INDEX($D$2:$D$100,SMALL(IF($D$2:$D$100&lt;&gt;"",ROW($D$2:$D$100)-ROW($D$2)+1),ROWS(W$2:W63))))</f>
        <v/>
      </c>
    </row>
    <row r="64" spans="6:23" x14ac:dyDescent="0.2">
      <c r="F64" s="13"/>
      <c r="I64" s="30"/>
      <c r="J64" s="13"/>
      <c r="K64" s="14"/>
      <c r="M64" s="30"/>
      <c r="S64" s="31"/>
      <c r="T64" s="5"/>
      <c r="U64" s="31"/>
      <c r="V64" s="5"/>
      <c r="W64" s="56" t="str">
        <f t="array" ref="W64">IF(ROWS(D$2:D64)&gt;COUNTA($D$2:$D$100),"",INDEX($D$2:$D$100,SMALL(IF($D$2:$D$100&lt;&gt;"",ROW($D$2:$D$100)-ROW($D$2)+1),ROWS(W$2:W64))))</f>
        <v/>
      </c>
    </row>
    <row r="65" spans="6:23" x14ac:dyDescent="0.2">
      <c r="F65" s="13"/>
      <c r="I65" s="30"/>
      <c r="J65" s="13"/>
      <c r="K65" s="14"/>
      <c r="M65" s="30"/>
      <c r="S65" s="31"/>
      <c r="T65" s="5"/>
      <c r="U65" s="31"/>
      <c r="V65" s="5"/>
      <c r="W65" s="56" t="str">
        <f t="array" ref="W65">IF(ROWS(D$2:D65)&gt;COUNTA($D$2:$D$100),"",INDEX($D$2:$D$100,SMALL(IF($D$2:$D$100&lt;&gt;"",ROW($D$2:$D$100)-ROW($D$2)+1),ROWS(W$2:W65))))</f>
        <v/>
      </c>
    </row>
    <row r="66" spans="6:23" x14ac:dyDescent="0.2">
      <c r="F66" s="13"/>
      <c r="I66" s="30"/>
      <c r="J66" s="13"/>
      <c r="K66" s="14"/>
      <c r="M66" s="30"/>
      <c r="S66" s="31"/>
      <c r="T66" s="5"/>
      <c r="U66" s="31"/>
      <c r="V66" s="5"/>
      <c r="W66" s="56" t="str">
        <f t="array" ref="W66">IF(ROWS(D$2:D66)&gt;COUNTA($D$2:$D$100),"",INDEX($D$2:$D$100,SMALL(IF($D$2:$D$100&lt;&gt;"",ROW($D$2:$D$100)-ROW($D$2)+1),ROWS(W$2:W66))))</f>
        <v/>
      </c>
    </row>
    <row r="67" spans="6:23" x14ac:dyDescent="0.2">
      <c r="F67" s="13"/>
      <c r="I67" s="30"/>
      <c r="J67" s="13"/>
      <c r="K67" s="14"/>
      <c r="M67" s="30"/>
      <c r="S67" s="31"/>
      <c r="T67" s="5"/>
      <c r="U67" s="31"/>
      <c r="V67" s="5"/>
      <c r="W67" s="56" t="str">
        <f t="array" ref="W67">IF(ROWS(D$2:D67)&gt;COUNTA($D$2:$D$100),"",INDEX($D$2:$D$100,SMALL(IF($D$2:$D$100&lt;&gt;"",ROW($D$2:$D$100)-ROW($D$2)+1),ROWS(W$2:W67))))</f>
        <v/>
      </c>
    </row>
    <row r="68" spans="6:23" x14ac:dyDescent="0.2">
      <c r="F68" s="13"/>
      <c r="I68" s="30"/>
      <c r="J68" s="13"/>
      <c r="K68" s="14"/>
      <c r="M68" s="30"/>
      <c r="S68" s="31"/>
      <c r="T68" s="5"/>
      <c r="U68" s="31"/>
      <c r="V68" s="5"/>
      <c r="W68" s="56" t="str">
        <f t="array" ref="W68">IF(ROWS(D$2:D68)&gt;COUNTA($D$2:$D$100),"",INDEX($D$2:$D$100,SMALL(IF($D$2:$D$100&lt;&gt;"",ROW($D$2:$D$100)-ROW($D$2)+1),ROWS(W$2:W68))))</f>
        <v/>
      </c>
    </row>
    <row r="69" spans="6:23" x14ac:dyDescent="0.2">
      <c r="F69" s="13"/>
      <c r="I69" s="30"/>
      <c r="J69" s="13"/>
      <c r="K69" s="14"/>
      <c r="M69" s="30"/>
      <c r="S69" s="31"/>
      <c r="T69" s="5"/>
      <c r="U69" s="31"/>
      <c r="V69" s="5"/>
      <c r="W69" s="56" t="str">
        <f t="array" ref="W69">IF(ROWS(D$2:D69)&gt;COUNTA($D$2:$D$100),"",INDEX($D$2:$D$100,SMALL(IF($D$2:$D$100&lt;&gt;"",ROW($D$2:$D$100)-ROW($D$2)+1),ROWS(W$2:W69))))</f>
        <v/>
      </c>
    </row>
    <row r="70" spans="6:23" x14ac:dyDescent="0.2">
      <c r="F70" s="13"/>
      <c r="I70" s="30"/>
      <c r="J70" s="13"/>
      <c r="K70" s="14"/>
      <c r="M70" s="30"/>
      <c r="S70" s="31"/>
      <c r="T70" s="5"/>
      <c r="U70" s="31"/>
      <c r="V70" s="5"/>
      <c r="W70" s="56" t="str">
        <f t="array" ref="W70">IF(ROWS(D$2:D70)&gt;COUNTA($D$2:$D$100),"",INDEX($D$2:$D$100,SMALL(IF($D$2:$D$100&lt;&gt;"",ROW($D$2:$D$100)-ROW($D$2)+1),ROWS(W$2:W70))))</f>
        <v/>
      </c>
    </row>
    <row r="71" spans="6:23" x14ac:dyDescent="0.2">
      <c r="F71" s="13"/>
      <c r="I71" s="30"/>
      <c r="J71" s="13"/>
      <c r="K71" s="14"/>
      <c r="M71" s="30"/>
      <c r="S71" s="31"/>
      <c r="T71" s="5"/>
      <c r="U71" s="31"/>
      <c r="V71" s="5"/>
      <c r="W71" s="56" t="str">
        <f t="array" ref="W71">IF(ROWS(D$2:D71)&gt;COUNTA($D$2:$D$100),"",INDEX($D$2:$D$100,SMALL(IF($D$2:$D$100&lt;&gt;"",ROW($D$2:$D$100)-ROW($D$2)+1),ROWS(W$2:W71))))</f>
        <v/>
      </c>
    </row>
    <row r="72" spans="6:23" x14ac:dyDescent="0.2">
      <c r="F72" s="13"/>
      <c r="I72" s="30"/>
      <c r="J72" s="13"/>
      <c r="K72" s="14"/>
      <c r="M72" s="30"/>
      <c r="S72" s="31"/>
      <c r="T72" s="5"/>
      <c r="U72" s="31"/>
      <c r="V72" s="5"/>
      <c r="W72" s="56" t="str">
        <f t="array" ref="W72">IF(ROWS(D$2:D72)&gt;COUNTA($D$2:$D$100),"",INDEX($D$2:$D$100,SMALL(IF($D$2:$D$100&lt;&gt;"",ROW($D$2:$D$100)-ROW($D$2)+1),ROWS(W$2:W72))))</f>
        <v/>
      </c>
    </row>
    <row r="73" spans="6:23" x14ac:dyDescent="0.2">
      <c r="F73" s="13"/>
      <c r="I73" s="30"/>
      <c r="J73" s="13"/>
      <c r="K73" s="14"/>
      <c r="M73" s="30"/>
      <c r="S73" s="31"/>
      <c r="T73" s="5"/>
      <c r="U73" s="31"/>
      <c r="V73" s="5"/>
      <c r="W73" s="56" t="str">
        <f t="array" ref="W73">IF(ROWS(D$2:D73)&gt;COUNTA($D$2:$D$100),"",INDEX($D$2:$D$100,SMALL(IF($D$2:$D$100&lt;&gt;"",ROW($D$2:$D$100)-ROW($D$2)+1),ROWS(W$2:W73))))</f>
        <v/>
      </c>
    </row>
    <row r="74" spans="6:23" x14ac:dyDescent="0.2">
      <c r="F74" s="13"/>
      <c r="I74" s="30"/>
      <c r="J74" s="13"/>
      <c r="K74" s="14"/>
      <c r="M74" s="30"/>
      <c r="S74" s="31"/>
      <c r="T74" s="5"/>
      <c r="U74" s="31"/>
      <c r="V74" s="5"/>
      <c r="W74" s="56" t="str">
        <f t="array" ref="W74">IF(ROWS(D$2:D74)&gt;COUNTA($D$2:$D$100),"",INDEX($D$2:$D$100,SMALL(IF($D$2:$D$100&lt;&gt;"",ROW($D$2:$D$100)-ROW($D$2)+1),ROWS(W$2:W74))))</f>
        <v/>
      </c>
    </row>
    <row r="75" spans="6:23" x14ac:dyDescent="0.2">
      <c r="F75" s="13"/>
      <c r="I75" s="30"/>
      <c r="J75" s="13"/>
      <c r="K75" s="14"/>
      <c r="M75" s="30"/>
      <c r="S75" s="31"/>
      <c r="T75" s="5"/>
      <c r="U75" s="31"/>
      <c r="V75" s="5"/>
      <c r="W75" s="56" t="str">
        <f t="array" ref="W75">IF(ROWS(D$2:D75)&gt;COUNTA($D$2:$D$100),"",INDEX($D$2:$D$100,SMALL(IF($D$2:$D$100&lt;&gt;"",ROW($D$2:$D$100)-ROW($D$2)+1),ROWS(W$2:W75))))</f>
        <v/>
      </c>
    </row>
    <row r="76" spans="6:23" x14ac:dyDescent="0.2">
      <c r="F76" s="13"/>
      <c r="I76" s="30"/>
      <c r="J76" s="13"/>
      <c r="K76" s="14"/>
      <c r="M76" s="30"/>
      <c r="S76" s="31"/>
      <c r="T76" s="5"/>
      <c r="U76" s="31"/>
      <c r="V76" s="5"/>
      <c r="W76" s="56" t="str">
        <f t="array" ref="W76">IF(ROWS(D$2:D76)&gt;COUNTA($D$2:$D$100),"",INDEX($D$2:$D$100,SMALL(IF($D$2:$D$100&lt;&gt;"",ROW($D$2:$D$100)-ROW($D$2)+1),ROWS(W$2:W76))))</f>
        <v/>
      </c>
    </row>
    <row r="77" spans="6:23" x14ac:dyDescent="0.2">
      <c r="F77" s="13"/>
      <c r="I77" s="30"/>
      <c r="J77" s="13"/>
      <c r="K77" s="14"/>
      <c r="M77" s="30"/>
      <c r="S77" s="31"/>
      <c r="T77" s="5"/>
      <c r="U77" s="31"/>
      <c r="V77" s="5"/>
      <c r="W77" s="56" t="str">
        <f t="array" ref="W77">IF(ROWS(D$2:D77)&gt;COUNTA($D$2:$D$100),"",INDEX($D$2:$D$100,SMALL(IF($D$2:$D$100&lt;&gt;"",ROW($D$2:$D$100)-ROW($D$2)+1),ROWS(W$2:W77))))</f>
        <v/>
      </c>
    </row>
    <row r="78" spans="6:23" x14ac:dyDescent="0.2">
      <c r="F78" s="13"/>
      <c r="I78" s="30"/>
      <c r="J78" s="13"/>
      <c r="K78" s="14"/>
      <c r="M78" s="30"/>
      <c r="S78" s="31"/>
      <c r="T78" s="5"/>
      <c r="U78" s="31"/>
      <c r="V78" s="5"/>
      <c r="W78" s="56" t="str">
        <f t="array" ref="W78">IF(ROWS(D$2:D78)&gt;COUNTA($D$2:$D$100),"",INDEX($D$2:$D$100,SMALL(IF($D$2:$D$100&lt;&gt;"",ROW($D$2:$D$100)-ROW($D$2)+1),ROWS(W$2:W78))))</f>
        <v/>
      </c>
    </row>
    <row r="79" spans="6:23" x14ac:dyDescent="0.2">
      <c r="F79" s="13"/>
      <c r="I79" s="30"/>
      <c r="J79" s="13"/>
      <c r="K79" s="14"/>
      <c r="M79" s="30"/>
      <c r="S79" s="31"/>
      <c r="T79" s="5"/>
      <c r="U79" s="31"/>
      <c r="V79" s="5"/>
      <c r="W79" s="56" t="str">
        <f t="array" ref="W79">IF(ROWS(D$2:D79)&gt;COUNTA($D$2:$D$100),"",INDEX($D$2:$D$100,SMALL(IF($D$2:$D$100&lt;&gt;"",ROW($D$2:$D$100)-ROW($D$2)+1),ROWS(W$2:W79))))</f>
        <v/>
      </c>
    </row>
    <row r="80" spans="6:23" x14ac:dyDescent="0.2">
      <c r="F80" s="13"/>
      <c r="I80" s="30"/>
      <c r="J80" s="13"/>
      <c r="K80" s="14"/>
      <c r="M80" s="30"/>
      <c r="S80" s="31"/>
      <c r="T80" s="5"/>
      <c r="U80" s="31"/>
      <c r="V80" s="5"/>
      <c r="W80" s="56" t="str">
        <f t="array" ref="W80">IF(ROWS(D$2:D80)&gt;COUNTA($D$2:$D$100),"",INDEX($D$2:$D$100,SMALL(IF($D$2:$D$100&lt;&gt;"",ROW($D$2:$D$100)-ROW($D$2)+1),ROWS(W$2:W80))))</f>
        <v/>
      </c>
    </row>
    <row r="81" spans="6:23" x14ac:dyDescent="0.2">
      <c r="F81" s="13"/>
      <c r="I81" s="30"/>
      <c r="J81" s="13"/>
      <c r="K81" s="14"/>
      <c r="M81" s="30"/>
      <c r="S81" s="31"/>
      <c r="T81" s="5"/>
      <c r="U81" s="31"/>
      <c r="V81" s="5"/>
      <c r="W81" s="56" t="str">
        <f t="array" ref="W81">IF(ROWS(D$2:D81)&gt;COUNTA($D$2:$D$100),"",INDEX($D$2:$D$100,SMALL(IF($D$2:$D$100&lt;&gt;"",ROW($D$2:$D$100)-ROW($D$2)+1),ROWS(W$2:W81))))</f>
        <v/>
      </c>
    </row>
    <row r="82" spans="6:23" x14ac:dyDescent="0.2">
      <c r="F82" s="13"/>
      <c r="I82" s="30"/>
      <c r="J82" s="13"/>
      <c r="K82" s="14"/>
      <c r="M82" s="30"/>
      <c r="S82" s="31"/>
      <c r="T82" s="5"/>
      <c r="U82" s="31"/>
      <c r="V82" s="5"/>
      <c r="W82" s="56" t="str">
        <f t="array" ref="W82">IF(ROWS(D$2:D82)&gt;COUNTA($D$2:$D$100),"",INDEX($D$2:$D$100,SMALL(IF($D$2:$D$100&lt;&gt;"",ROW($D$2:$D$100)-ROW($D$2)+1),ROWS(W$2:W82))))</f>
        <v/>
      </c>
    </row>
    <row r="83" spans="6:23" x14ac:dyDescent="0.2">
      <c r="F83" s="13"/>
      <c r="I83" s="30"/>
      <c r="J83" s="13"/>
      <c r="K83" s="14"/>
      <c r="M83" s="30"/>
      <c r="S83" s="31"/>
      <c r="T83" s="5"/>
      <c r="U83" s="31"/>
      <c r="V83" s="5"/>
      <c r="W83" s="56" t="str">
        <f t="array" ref="W83">IF(ROWS(D$2:D83)&gt;COUNTA($D$2:$D$100),"",INDEX($D$2:$D$100,SMALL(IF($D$2:$D$100&lt;&gt;"",ROW($D$2:$D$100)-ROW($D$2)+1),ROWS(W$2:W83))))</f>
        <v/>
      </c>
    </row>
    <row r="84" spans="6:23" x14ac:dyDescent="0.2">
      <c r="F84" s="13"/>
      <c r="I84" s="30"/>
      <c r="J84" s="13"/>
      <c r="K84" s="14"/>
      <c r="M84" s="30"/>
      <c r="S84" s="31"/>
      <c r="T84" s="5"/>
      <c r="U84" s="31"/>
      <c r="V84" s="5"/>
      <c r="W84" s="56" t="str">
        <f t="array" ref="W84">IF(ROWS(D$2:D84)&gt;COUNTA($D$2:$D$100),"",INDEX($D$2:$D$100,SMALL(IF($D$2:$D$100&lt;&gt;"",ROW($D$2:$D$100)-ROW($D$2)+1),ROWS(W$2:W84))))</f>
        <v/>
      </c>
    </row>
    <row r="85" spans="6:23" x14ac:dyDescent="0.2">
      <c r="F85" s="13"/>
      <c r="I85" s="30"/>
      <c r="J85" s="13"/>
      <c r="K85" s="14"/>
      <c r="M85" s="30"/>
      <c r="S85" s="31"/>
      <c r="T85" s="5"/>
      <c r="U85" s="31"/>
      <c r="V85" s="5"/>
      <c r="W85" s="56" t="str">
        <f t="array" ref="W85">IF(ROWS(D$2:D85)&gt;COUNTA($D$2:$D$100),"",INDEX($D$2:$D$100,SMALL(IF($D$2:$D$100&lt;&gt;"",ROW($D$2:$D$100)-ROW($D$2)+1),ROWS(W$2:W85))))</f>
        <v/>
      </c>
    </row>
    <row r="86" spans="6:23" x14ac:dyDescent="0.2">
      <c r="F86" s="13"/>
      <c r="I86" s="30"/>
      <c r="J86" s="13"/>
      <c r="K86" s="14"/>
      <c r="M86" s="30"/>
      <c r="S86" s="31"/>
      <c r="T86" s="5"/>
      <c r="U86" s="31"/>
      <c r="V86" s="5"/>
      <c r="W86" s="56" t="str">
        <f t="array" ref="W86">IF(ROWS(D$2:D86)&gt;COUNTA($D$2:$D$100),"",INDEX($D$2:$D$100,SMALL(IF($D$2:$D$100&lt;&gt;"",ROW($D$2:$D$100)-ROW($D$2)+1),ROWS(W$2:W86))))</f>
        <v/>
      </c>
    </row>
    <row r="87" spans="6:23" x14ac:dyDescent="0.2">
      <c r="F87" s="13"/>
      <c r="I87" s="30"/>
      <c r="J87" s="13"/>
      <c r="K87" s="14"/>
      <c r="M87" s="30"/>
      <c r="S87" s="31"/>
      <c r="T87" s="5"/>
      <c r="U87" s="31"/>
      <c r="V87" s="5"/>
      <c r="W87" s="56" t="str">
        <f t="array" ref="W87">IF(ROWS(D$2:D87)&gt;COUNTA($D$2:$D$100),"",INDEX($D$2:$D$100,SMALL(IF($D$2:$D$100&lt;&gt;"",ROW($D$2:$D$100)-ROW($D$2)+1),ROWS(W$2:W87))))</f>
        <v/>
      </c>
    </row>
    <row r="88" spans="6:23" x14ac:dyDescent="0.2">
      <c r="F88" s="13"/>
      <c r="I88" s="30"/>
      <c r="J88" s="13"/>
      <c r="K88" s="14"/>
      <c r="M88" s="30"/>
      <c r="S88" s="31"/>
      <c r="T88" s="5"/>
      <c r="U88" s="31"/>
      <c r="V88" s="5"/>
      <c r="W88" s="56" t="str">
        <f t="array" ref="W88">IF(ROWS(D$2:D88)&gt;COUNTA($D$2:$D$100),"",INDEX($D$2:$D$100,SMALL(IF($D$2:$D$100&lt;&gt;"",ROW($D$2:$D$100)-ROW($D$2)+1),ROWS(W$2:W88))))</f>
        <v/>
      </c>
    </row>
    <row r="89" spans="6:23" x14ac:dyDescent="0.2">
      <c r="F89" s="13"/>
      <c r="I89" s="30"/>
      <c r="J89" s="13"/>
      <c r="K89" s="14"/>
      <c r="M89" s="30"/>
      <c r="S89" s="31"/>
      <c r="T89" s="5"/>
      <c r="U89" s="31"/>
      <c r="V89" s="5"/>
      <c r="W89" s="56" t="str">
        <f t="array" ref="W89">IF(ROWS(D$2:D89)&gt;COUNTA($D$2:$D$100),"",INDEX($D$2:$D$100,SMALL(IF($D$2:$D$100&lt;&gt;"",ROW($D$2:$D$100)-ROW($D$2)+1),ROWS(W$2:W89))))</f>
        <v/>
      </c>
    </row>
    <row r="90" spans="6:23" x14ac:dyDescent="0.2">
      <c r="F90" s="13"/>
      <c r="I90" s="30"/>
      <c r="J90" s="13"/>
      <c r="K90" s="14"/>
      <c r="M90" s="30"/>
      <c r="S90" s="31"/>
      <c r="T90" s="5"/>
      <c r="U90" s="31"/>
      <c r="V90" s="5"/>
      <c r="W90" s="56" t="str">
        <f t="array" ref="W90">IF(ROWS(D$2:D90)&gt;COUNTA($D$2:$D$100),"",INDEX($D$2:$D$100,SMALL(IF($D$2:$D$100&lt;&gt;"",ROW($D$2:$D$100)-ROW($D$2)+1),ROWS(W$2:W90))))</f>
        <v/>
      </c>
    </row>
    <row r="91" spans="6:23" x14ac:dyDescent="0.2">
      <c r="F91" s="13"/>
      <c r="I91" s="30"/>
      <c r="J91" s="13"/>
      <c r="K91" s="14"/>
      <c r="M91" s="30"/>
      <c r="S91" s="31"/>
      <c r="T91" s="5"/>
      <c r="U91" s="31"/>
      <c r="V91" s="5"/>
      <c r="W91" s="56" t="str">
        <f t="array" ref="W91">IF(ROWS(D$2:D91)&gt;COUNTA($D$2:$D$100),"",INDEX($D$2:$D$100,SMALL(IF($D$2:$D$100&lt;&gt;"",ROW($D$2:$D$100)-ROW($D$2)+1),ROWS(W$2:W91))))</f>
        <v/>
      </c>
    </row>
    <row r="92" spans="6:23" x14ac:dyDescent="0.2">
      <c r="F92" s="13"/>
      <c r="I92" s="30"/>
      <c r="J92" s="13"/>
      <c r="K92" s="14"/>
      <c r="M92" s="30"/>
      <c r="S92" s="31"/>
      <c r="T92" s="5"/>
      <c r="U92" s="31"/>
      <c r="V92" s="5"/>
      <c r="W92" s="56" t="str">
        <f t="array" ref="W92">IF(ROWS(D$2:D92)&gt;COUNTA($D$2:$D$100),"",INDEX($D$2:$D$100,SMALL(IF($D$2:$D$100&lt;&gt;"",ROW($D$2:$D$100)-ROW($D$2)+1),ROWS(W$2:W92))))</f>
        <v/>
      </c>
    </row>
    <row r="93" spans="6:23" x14ac:dyDescent="0.2">
      <c r="F93" s="13"/>
      <c r="I93" s="30"/>
      <c r="J93" s="13"/>
      <c r="K93" s="14"/>
      <c r="M93" s="30"/>
      <c r="S93" s="31"/>
      <c r="T93" s="5"/>
      <c r="U93" s="31"/>
      <c r="V93" s="5"/>
      <c r="W93" s="56" t="str">
        <f t="array" ref="W93">IF(ROWS(D$2:D93)&gt;COUNTA($D$2:$D$100),"",INDEX($D$2:$D$100,SMALL(IF($D$2:$D$100&lt;&gt;"",ROW($D$2:$D$100)-ROW($D$2)+1),ROWS(W$2:W93))))</f>
        <v/>
      </c>
    </row>
    <row r="94" spans="6:23" x14ac:dyDescent="0.2">
      <c r="F94" s="13"/>
      <c r="I94" s="30"/>
      <c r="J94" s="13"/>
      <c r="K94" s="14"/>
      <c r="M94" s="30"/>
      <c r="S94" s="31"/>
      <c r="T94" s="5"/>
      <c r="U94" s="31"/>
      <c r="V94" s="5"/>
      <c r="W94" s="56" t="str">
        <f t="array" ref="W94">IF(ROWS(D$2:D94)&gt;COUNTA($D$2:$D$100),"",INDEX($D$2:$D$100,SMALL(IF($D$2:$D$100&lt;&gt;"",ROW($D$2:$D$100)-ROW($D$2)+1),ROWS(W$2:W94))))</f>
        <v/>
      </c>
    </row>
    <row r="95" spans="6:23" x14ac:dyDescent="0.2">
      <c r="F95" s="13"/>
      <c r="I95" s="30"/>
      <c r="J95" s="13"/>
      <c r="K95" s="14"/>
      <c r="M95" s="30"/>
      <c r="S95" s="31"/>
      <c r="T95" s="5"/>
      <c r="U95" s="31"/>
      <c r="V95" s="5"/>
      <c r="W95" s="56" t="str">
        <f t="array" ref="W95">IF(ROWS(D$2:D95)&gt;COUNTA($D$2:$D$100),"",INDEX($D$2:$D$100,SMALL(IF($D$2:$D$100&lt;&gt;"",ROW($D$2:$D$100)-ROW($D$2)+1),ROWS(W$2:W95))))</f>
        <v/>
      </c>
    </row>
    <row r="96" spans="6:23" x14ac:dyDescent="0.2">
      <c r="F96" s="13"/>
      <c r="I96" s="30"/>
      <c r="J96" s="13"/>
      <c r="K96" s="14"/>
      <c r="M96" s="30"/>
      <c r="S96" s="31"/>
      <c r="T96" s="5"/>
      <c r="U96" s="31"/>
      <c r="V96" s="5"/>
      <c r="W96" s="56" t="str">
        <f t="array" ref="W96">IF(ROWS(D$2:D96)&gt;COUNTA($D$2:$D$100),"",INDEX($D$2:$D$100,SMALL(IF($D$2:$D$100&lt;&gt;"",ROW($D$2:$D$100)-ROW($D$2)+1),ROWS(W$2:W96))))</f>
        <v/>
      </c>
    </row>
    <row r="97" spans="6:23" x14ac:dyDescent="0.2">
      <c r="F97" s="13"/>
      <c r="I97" s="30"/>
      <c r="J97" s="13"/>
      <c r="K97" s="14"/>
      <c r="M97" s="30"/>
      <c r="S97" s="31"/>
      <c r="T97" s="5"/>
      <c r="U97" s="31"/>
      <c r="V97" s="5"/>
      <c r="W97" s="56" t="str">
        <f t="array" ref="W97">IF(ROWS(D$2:D97)&gt;COUNTA($D$2:$D$100),"",INDEX($D$2:$D$100,SMALL(IF($D$2:$D$100&lt;&gt;"",ROW($D$2:$D$100)-ROW($D$2)+1),ROWS(W$2:W97))))</f>
        <v/>
      </c>
    </row>
    <row r="98" spans="6:23" x14ac:dyDescent="0.2">
      <c r="F98" s="13"/>
      <c r="I98" s="30"/>
      <c r="J98" s="13"/>
      <c r="K98" s="14"/>
      <c r="M98" s="30"/>
      <c r="S98" s="31"/>
      <c r="T98" s="5"/>
      <c r="U98" s="31"/>
      <c r="V98" s="5"/>
      <c r="W98" s="56" t="str">
        <f t="array" ref="W98">IF(ROWS(D$2:D98)&gt;COUNTA($D$2:$D$100),"",INDEX($D$2:$D$100,SMALL(IF($D$2:$D$100&lt;&gt;"",ROW($D$2:$D$100)-ROW($D$2)+1),ROWS(W$2:W98))))</f>
        <v/>
      </c>
    </row>
    <row r="99" spans="6:23" x14ac:dyDescent="0.2">
      <c r="F99" s="13"/>
      <c r="I99" s="30"/>
      <c r="J99" s="13"/>
      <c r="K99" s="14"/>
      <c r="M99" s="30"/>
      <c r="S99" s="31"/>
      <c r="T99" s="5"/>
      <c r="U99" s="31"/>
      <c r="V99" s="5"/>
      <c r="W99" s="56" t="str">
        <f t="array" ref="W99">IF(ROWS(D$2:D99)&gt;COUNTA($D$2:$D$100),"",INDEX($D$2:$D$100,SMALL(IF($D$2:$D$100&lt;&gt;"",ROW($D$2:$D$100)-ROW($D$2)+1),ROWS(W$2:W99))))</f>
        <v/>
      </c>
    </row>
    <row r="100" spans="6:23" x14ac:dyDescent="0.2">
      <c r="K100" s="14"/>
      <c r="M100" s="30"/>
      <c r="S100" s="31"/>
      <c r="T100" s="19"/>
      <c r="U100" s="31"/>
      <c r="V100" s="19"/>
      <c r="W100" s="56" t="str">
        <f t="array" ref="W100">IF(ROWS(D$2:D100)&gt;COUNTA($D$2:$D$100),"",INDEX($D$2:$D$100,SMALL(IF($D$2:$D$100&lt;&gt;"",ROW($D$2:$D$100)-ROW($D$2)+1),ROWS(W$2:W100))))</f>
        <v/>
      </c>
    </row>
  </sheetData>
  <sheetProtection sheet="1" objects="1" scenarios="1" formatColumns="0" formatRows="0" insertRows="0" deleteRows="0"/>
  <dataConsolidate/>
  <conditionalFormatting sqref="A2:A100">
    <cfRule type="expression" dxfId="250" priority="41" stopIfTrue="1">
      <formula>AND(NOT(ISBLANK(A2)), COUNTIF(entryTypeList,A2)=0)</formula>
    </cfRule>
    <cfRule type="expression" dxfId="249" priority="42" stopIfTrue="1">
      <formula>AND(ISBLANK(A2), COUNTA(A2:V2))</formula>
    </cfRule>
  </conditionalFormatting>
  <conditionalFormatting sqref="B2:B100">
    <cfRule type="expression" dxfId="248" priority="39" stopIfTrue="1">
      <formula>AND(NOT(MatchNamesList(B2, TRUE)),NOT(ISBLANK(B2)))</formula>
    </cfRule>
    <cfRule type="expression" dxfId="247" priority="40" stopIfTrue="1">
      <formula>AND(ISBLANK(B2), COUNTA(A2:V2))</formula>
    </cfRule>
  </conditionalFormatting>
  <conditionalFormatting sqref="C2:C100">
    <cfRule type="expression" dxfId="246" priority="37" stopIfTrue="1">
      <formula>AND(OR(NOT(AND(ISNUMBER(C2),IFERROR(INT(C2)=C2,FALSE))), C2&lt;0, C2&gt;3000), COUNTA(A2:V2))</formula>
    </cfRule>
    <cfRule type="expression" dxfId="245" priority="38" stopIfTrue="1">
      <formula>AND(ISBLANK(C2), COUNTA(A2:V2))</formula>
    </cfRule>
  </conditionalFormatting>
  <conditionalFormatting sqref="D2:D100">
    <cfRule type="expression" dxfId="244" priority="36" stopIfTrue="1">
      <formula>AND(ISBLANK(D2),COUNTA(A2:V2))</formula>
    </cfRule>
  </conditionalFormatting>
  <conditionalFormatting sqref="E2:E100">
    <cfRule type="expression" dxfId="243" priority="34" stopIfTrue="1">
      <formula>AND(A2&lt;&gt;INDEX(entryTypeList,1), COUNTA(A2:V2), NOT(ISBLANK(E2)))</formula>
    </cfRule>
    <cfRule type="expression" dxfId="242" priority="35" stopIfTrue="1">
      <formula>AND(A2&lt;&gt;INDEX(entryTypeList,1), COUNTA(A2:V2))</formula>
    </cfRule>
  </conditionalFormatting>
  <conditionalFormatting sqref="F2:F100">
    <cfRule type="expression" dxfId="241" priority="33" stopIfTrue="1">
      <formula>AND(NOT(ISBLANK(F2)), COUNTIF(monthsList,F2)=0)</formula>
    </cfRule>
  </conditionalFormatting>
  <conditionalFormatting sqref="G2:G100">
    <cfRule type="expression" dxfId="240" priority="31" stopIfTrue="1">
      <formula>AND(A2&lt;&gt;INDEX(entryTypeList,1), A2&lt;&gt;INDEX(entryTypeList,3), A2&lt;&gt;INDEX(entryTypeList,6), COUNTA(A2:V2), NOT(ISBLANK(G2)))</formula>
    </cfRule>
    <cfRule type="expression" dxfId="239" priority="32" stopIfTrue="1">
      <formula>AND(A2&lt;&gt;INDEX(entryTypeList,1), A2&lt;&gt;INDEX(entryTypeList,3), A2&lt;&gt;INDEX(entryTypeList,6), COUNTA(A2:V2))</formula>
    </cfRule>
  </conditionalFormatting>
  <conditionalFormatting sqref="H2:H100">
    <cfRule type="expression" dxfId="238" priority="29" stopIfTrue="1">
      <formula>AND(A2&lt;&gt;INDEX(entryTypeList,1), A2&lt;&gt;INDEX(entryTypeList,2), A2&lt;&gt;INDEX(entryTypeList,3), COUNTA(A2:V2), NOT(ISBLANK(H2)))</formula>
    </cfRule>
    <cfRule type="expression" dxfId="237" priority="30" stopIfTrue="1">
      <formula>AND(A2&lt;&gt;INDEX(entryTypeList,1), A2&lt;&gt;INDEX(entryTypeList,2), A2&lt;&gt;INDEX(entryTypeList,3), COUNTA(A2:V2))</formula>
    </cfRule>
  </conditionalFormatting>
  <conditionalFormatting sqref="I2:I100">
    <cfRule type="expression" dxfId="236" priority="26" stopIfTrue="1">
      <formula>AND(OR(NOT(AND(ISNUMBER(I2),IFERROR(INT(I2)=I2,FALSE))), I2&lt;0, I2&gt;1000),NOT(ISBLANK(I2)))</formula>
    </cfRule>
    <cfRule type="expression" dxfId="235" priority="27" stopIfTrue="1">
      <formula>AND(A2&lt;&gt;INDEX(entryTypeList,1), A2&lt;&gt;INDEX(entryTypeList,2), A2&lt;&gt;INDEX(entryTypeList,3), COUNTA(A2:V2), NOT(ISBLANK(I2)))</formula>
    </cfRule>
    <cfRule type="expression" dxfId="234" priority="28" stopIfTrue="1">
      <formula>AND(A2&lt;&gt;INDEX(entryTypeList,1), A2&lt;&gt;INDEX(entryTypeList,2), A2&lt;&gt;INDEX(entryTypeList,3), COUNTA(A2:V2))</formula>
    </cfRule>
  </conditionalFormatting>
  <conditionalFormatting sqref="J2:J100">
    <cfRule type="expression" dxfId="233" priority="24" stopIfTrue="1">
      <formula>AND(A2&lt;&gt;INDEX(entryTypeList,4), A2&lt;&gt;INDEX(entryTypeList,5), A2&lt;&gt;INDEX(entryTypeList,6), COUNTA(A2:V2), NOT(ISBLANK(J2)))</formula>
    </cfRule>
    <cfRule type="expression" dxfId="232" priority="25" stopIfTrue="1">
      <formula>AND(A2&lt;&gt;INDEX(entryTypeList,4), A2&lt;&gt;INDEX(entryTypeList,5), A2&lt;&gt;INDEX(entryTypeList,6), COUNTA(A2:V2))</formula>
    </cfRule>
  </conditionalFormatting>
  <conditionalFormatting sqref="K2:K100">
    <cfRule type="expression" dxfId="231" priority="22" stopIfTrue="1">
      <formula>AND(A2&lt;&gt;INDEX(entryTypeList,3), COUNTA(A2:V2), NOT(ISBLANK(K2)))</formula>
    </cfRule>
    <cfRule type="expression" dxfId="230" priority="23" stopIfTrue="1">
      <formula>AND(A2&lt;&gt;INDEX(entryTypeList,3), COUNTA(A2:V2))</formula>
    </cfRule>
  </conditionalFormatting>
  <conditionalFormatting sqref="L2:L100">
    <cfRule type="expression" dxfId="229" priority="20" stopIfTrue="1">
      <formula>AND(A2&lt;&gt;INDEX(entryTypeList,2), A2&lt;&gt;INDEX(entryTypeList,3), COUNTA(A2:V2), NOT(ISBLANK(L2)))</formula>
    </cfRule>
    <cfRule type="expression" dxfId="228" priority="21" stopIfTrue="1">
      <formula>AND(A2&lt;&gt;INDEX(entryTypeList,2), A2&lt;&gt;INDEX(entryTypeList,3), COUNTA(A2:V2))</formula>
    </cfRule>
  </conditionalFormatting>
  <conditionalFormatting sqref="M2:M100">
    <cfRule type="expression" dxfId="227" priority="18" stopIfTrue="1">
      <formula>AND(A2&lt;&gt;INDEX(entryTypeList,2), A2&lt;&gt;INDEX(entryTypeList,3), A2&lt;&gt;INDEX(entryTypeList,6), COUNTA(A2:V2), NOT(ISBLANK(M2)))</formula>
    </cfRule>
    <cfRule type="expression" dxfId="226" priority="19" stopIfTrue="1">
      <formula>AND(A2&lt;&gt;INDEX(entryTypeList,2), A2&lt;&gt;INDEX(entryTypeList,3), A2&lt;&gt;INDEX(entryTypeList,6), COUNTA(A2:V2))</formula>
    </cfRule>
  </conditionalFormatting>
  <conditionalFormatting sqref="N2:N100">
    <cfRule type="expression" dxfId="225" priority="17" stopIfTrue="1">
      <formula>AND(A2&lt;&gt;INDEX(entryTypeList,4), A2&lt;&gt;INDEX(entryTypeList,5), COUNTA(A2:V2))</formula>
    </cfRule>
  </conditionalFormatting>
  <conditionalFormatting sqref="N2:N100">
    <cfRule type="expression" dxfId="224" priority="16" stopIfTrue="1">
      <formula>AND(A2&lt;&gt;INDEX(entryTypeList,4), A2&lt;&gt;INDEX(entryTypeList,5), COUNTA(A2:V2), NOT(ISBLANK(N2)))</formula>
    </cfRule>
  </conditionalFormatting>
  <conditionalFormatting sqref="O2:O100">
    <cfRule type="expression" dxfId="223" priority="15" stopIfTrue="1">
      <formula>AND(A2&lt;&gt;INDEX(entryTypeList,6), COUNTA(A2:V2))</formula>
    </cfRule>
  </conditionalFormatting>
  <conditionalFormatting sqref="O2:O100">
    <cfRule type="expression" dxfId="222" priority="14" stopIfTrue="1">
      <formula>AND(A2&lt;&gt;INDEX(entryTypeList,6), COUNTA(A2:V2), NOT(ISBLANK(O2)))</formula>
    </cfRule>
  </conditionalFormatting>
  <conditionalFormatting sqref="Q2:Q100">
    <cfRule type="expression" dxfId="221" priority="13" stopIfTrue="1">
      <formula>AND(A2&lt;&gt;INDEX(entryTypeList,1), COUNTA(A2:V2))</formula>
    </cfRule>
  </conditionalFormatting>
  <conditionalFormatting sqref="Q2:Q100">
    <cfRule type="expression" dxfId="220" priority="12" stopIfTrue="1">
      <formula>AND(A2&lt;&gt;INDEX(entryTypeList,1), COUNTA(A2:V2), NOT(ISBLANK(Q2)))</formula>
    </cfRule>
  </conditionalFormatting>
  <conditionalFormatting sqref="R2:R100">
    <cfRule type="expression" dxfId="219" priority="11" stopIfTrue="1">
      <formula>AND(A2&lt;&gt;INDEX(entryTypeList,2), A2&lt;&gt;INDEX(entryTypeList,3), COUNTA(A2:V2))</formula>
    </cfRule>
  </conditionalFormatting>
  <conditionalFormatting sqref="R2:R100">
    <cfRule type="expression" dxfId="218" priority="10" stopIfTrue="1">
      <formula>AND(A2&lt;&gt;INDEX(entryTypeList,2), A2&lt;&gt;INDEX(entryTypeList,3), COUNTA(A2:V2), NOT(ISBLANK(R2)))</formula>
    </cfRule>
  </conditionalFormatting>
  <conditionalFormatting sqref="S2:S100">
    <cfRule type="expression" dxfId="217" priority="9" stopIfTrue="1">
      <formula>AND(NOT(MatchURL(S2)),NOT(ISBLANK(S2)))</formula>
    </cfRule>
  </conditionalFormatting>
  <conditionalFormatting sqref="T2:T100">
    <cfRule type="expression" dxfId="216" priority="8" stopIfTrue="1">
      <formula>AND(ISBLANK(T2), COUNTA(A2:V2))</formula>
    </cfRule>
  </conditionalFormatting>
  <conditionalFormatting sqref="T2:T100">
    <cfRule type="expression" dxfId="215" priority="7" stopIfTrue="1">
      <formula>AND(NOT(ISBLANK(T2)), COUNTIF(yesNo,T2)=0)</formula>
    </cfRule>
  </conditionalFormatting>
  <conditionalFormatting sqref="U2:U100">
    <cfRule type="expression" dxfId="214" priority="6" stopIfTrue="1">
      <formula>AND(T2&lt;&gt;INDEX(yesNo,1), COUNTA(A2:V2))</formula>
    </cfRule>
  </conditionalFormatting>
  <conditionalFormatting sqref="U2:U100">
    <cfRule type="expression" dxfId="213" priority="5" stopIfTrue="1">
      <formula>AND(T2&lt;&gt;INDEX(yesNo,1), NOT(ISBLANK(U2)))</formula>
    </cfRule>
  </conditionalFormatting>
  <conditionalFormatting sqref="U2:U100">
    <cfRule type="expression" dxfId="212" priority="4" stopIfTrue="1">
      <formula>AND(T2=INDEX(yesNo,1), ISBLANK(U2), COUNTA(A2:V2))</formula>
    </cfRule>
  </conditionalFormatting>
  <conditionalFormatting sqref="U2:U100">
    <cfRule type="expression" dxfId="211" priority="3" stopIfTrue="1">
      <formula>AND(NOT(MatchNamesList(U2, FALSE)),NOT(ISBLANK(U2)))</formula>
    </cfRule>
  </conditionalFormatting>
  <conditionalFormatting sqref="V2:V100">
    <cfRule type="expression" dxfId="210" priority="2" stopIfTrue="1">
      <formula>AND(T2&lt;&gt;INDEX(yesNo,1), COUNTA(A2:V2))</formula>
    </cfRule>
  </conditionalFormatting>
  <conditionalFormatting sqref="V2:V100">
    <cfRule type="expression" dxfId="209" priority="1" stopIfTrue="1">
      <formula>AND(T2&lt;&gt;INDEX(yesNo,1), NOT(ISBLANK(V2)))</formula>
    </cfRule>
  </conditionalFormatting>
  <dataValidations xWindow="479" yWindow="366" count="21">
    <dataValidation type="list" errorStyle="warning" allowBlank="1" showInputMessage="1" showErrorMessage="1" errorTitle="Error: Entry type" error="Only the values in the list are valids." promptTitle="Entry type" prompt="Select an entry list by clicking on the dropdown arrow" sqref="A2:A100">
      <formula1>entryTypeList</formula1>
    </dataValidation>
    <dataValidation errorStyle="warning" allowBlank="1" showInputMessage="1" promptTitle="Author(s)" prompt="Please enter each author name with the last name first, a coma (,) then the given name initials (with comas)._x000a__x000a_For several authors, please separate each complete name by a slash (/)._x000a__x000a_Example:_x000a_Mesia, G. K. / Apers, S. / Tona, G. L. / Cos, P." sqref="B2:B100"/>
    <dataValidation type="decimal" errorStyle="warning" allowBlank="1" showInputMessage="1" showErrorMessage="1" errorTitle="Error: Year" error="Only a integer between 0 and 3000 is accepted." promptTitle="Year" prompt="Enter the year number" sqref="C2:C100">
      <formula1>0</formula1>
      <formula2>3000</formula2>
    </dataValidation>
    <dataValidation errorStyle="warning" allowBlank="1" showInputMessage="1" promptTitle="Title" prompt="In case of chapter book, please enter the chapter name." sqref="D2:D100"/>
    <dataValidation type="custom" errorStyle="warning" allowBlank="1" showInputMessage="1" showErrorMessage="1" errorTitle="Error: Journal" error="No value accepted when the Entry Type is not 'Journal article'." promptTitle="Journal" prompt="Only if Entry Type is 'Journal article'." sqref="E2:E100">
      <formula1>A2="Journal article"</formula1>
    </dataValidation>
    <dataValidation type="list" errorStyle="warning" allowBlank="1" showInputMessage="1" showErrorMessage="1" errorTitle="Error: Month" error="Only the values in the list are valids." promptTitle="Month" prompt="Select a month by clicking on the dropdown arrow." sqref="F2:F100">
      <formula1>monthsList</formula1>
    </dataValidation>
    <dataValidation type="custom" errorStyle="warning" allowBlank="1" showInputMessage="1" showErrorMessage="1" errorTitle="Error: Page" error="No value accepted when the Entry Type is not 'Journal article', 'Chapter' or 'Tech report'." promptTitle="Page" prompt="Only if Entry Type is 'Journal article', 'Chapter' or 'Tech report'._x000a__x000a_Please enter the complete page numbers and use the dash (-) to specify a page range._x000a_Example : 313-398" sqref="G2:G100">
      <formula1>OR(A2="Journal article",A2="Chapter",A2="Tech report")</formula1>
    </dataValidation>
    <dataValidation type="custom" errorStyle="warning" allowBlank="1" showInputMessage="1" showErrorMessage="1" errorTitle="Error: Volume" error="No value accepted when the Entry Type is not 'Journal article', 'Book' or 'Chapter'." promptTitle="Volume" prompt="Only if Entry Type is 'Journal article', 'Book' or 'Chapter'." sqref="H2:H100">
      <formula1>OR(A2="Journal article",A2="Book",A2="Chapter")</formula1>
    </dataValidation>
    <dataValidation type="custom" errorStyle="warning" allowBlank="1" showInputMessage="1" showErrorMessage="1" errorTitle="Error: Nb of volumes" error="No value accepted when the Entry Type is not 'Journal article', 'Book' or 'Chapter'." promptTitle="Nb of volumes" prompt="Only if Entry Type is 'Journal article', 'Book' or 'Chapter'._x000a__x000a_Only a integer between 0 and 1000 is accepted." sqref="I2:I100">
      <formula1>OR(A2="Journal article",A2="Book",A2="Chapter")</formula1>
    </dataValidation>
    <dataValidation type="custom" errorStyle="warning" allowBlank="1" showInputMessage="1" showErrorMessage="1" errorTitle="Error: Number" error="No value accepted when the Entry Type is not 'Masters thesis', 'Phd thesis', 'Tech report'." promptTitle="Number" prompt="Only if Entry Type is 'Masters thesis', 'Phd thesis', 'Tech report'." sqref="J2:J100">
      <formula1>OR(A2="Masters thesis",A2="Phd thesis",A2="Tech report")</formula1>
    </dataValidation>
    <dataValidation type="custom" errorStyle="warning" allowBlank="1" showInputMessage="1" showErrorMessage="1" errorTitle="Error: Book title" error="No value accepted when the Entry Type is not 'Chapter'." promptTitle="Book title" prompt="In case of chapter book, please enter the book title." sqref="K2:K100">
      <formula1>A2="Chapter"</formula1>
    </dataValidation>
    <dataValidation type="custom" errorStyle="warning" allowBlank="1" showInputMessage="1" showErrorMessage="1" errorTitle="Error: Publisher" error="No value accepted when the Entry Type is not 'Book' or 'Chapter'." promptTitle="Publisher" prompt="Only if Entry Type is 'Book' or 'Chapter'." sqref="L2:L100">
      <formula1>OR(A2="Book",A2="Chapter")</formula1>
    </dataValidation>
    <dataValidation type="custom" errorStyle="warning" allowBlank="1" showInputMessage="1" showErrorMessage="1" errorTitle="Error: Edition" error="No value accepted when the Entry Type is not 'Book', 'Chapter', 'Tech report'." promptTitle="Edition" prompt="Only if Entry Type is 'Book', 'Chapter', 'Tech report'." sqref="M2:M100">
      <formula1>OR(A2="Book",A2="Chapter",A2="Tech report")</formula1>
    </dataValidation>
    <dataValidation type="custom" errorStyle="warning" allowBlank="1" showInputMessage="1" showErrorMessage="1" errorTitle="Error: University" error="No value accepted when the Entry Type is not 'Masters thesis' or 'Phd thesis'." promptTitle="University" prompt="Only if Entry Type is 'Masters thesis' or 'Phd thesis'." sqref="N2:N100">
      <formula1>OR(A2="Masters thesis",A2="Phd thesis")</formula1>
    </dataValidation>
    <dataValidation type="custom" errorStyle="warning" allowBlank="1" showInputMessage="1" showErrorMessage="1" errorTitle="Error: Institution" error="No value accepted when the Entry Type is not 'Tech report'." promptTitle="Institution" prompt="Only if Entry Type is 'Tech report'." sqref="O2:O100">
      <formula1>A2="Tech report"</formula1>
    </dataValidation>
    <dataValidation type="custom" errorStyle="warning" allowBlank="1" showInputMessage="1" showErrorMessage="1" errorTitle="Error: PMID" error="No value accepted when the Entry Type is not 'Journal article'." promptTitle="PMID" prompt="Only if Entry Type is 'Journal article'." sqref="Q2:Q100">
      <formula1>A2="Journal article"</formula1>
    </dataValidation>
    <dataValidation type="custom" errorStyle="warning" allowBlank="1" showInputMessage="1" showErrorMessage="1" errorTitle="Error: ISBN" error="No value accepted when the Entry Type is not 'Book' or 'Chapter'." promptTitle="ISBN" prompt="Only if Entry Type is 'Book' or 'Chapter'." sqref="R2:R100">
      <formula1>"OR(A2=""Book"",A2=""Chapter"")"</formula1>
    </dataValidation>
    <dataValidation errorStyle="warning" allowBlank="1" showInputMessage="1" promptTitle="URL" prompt="Enter a valid Web Page URL. Example : http://onlinelibrary.wiley.com/doi/10.1111/j.1540-6261.2008.01419.x/abstract" sqref="S2:S100"/>
    <dataValidation type="list" errorStyle="warning" allowBlank="1" showInputMessage="1" showErrorMessage="1" errorTitle="Error: Reviewed by compiler(s)" error="Only Yes or No are valids." promptTitle="Reviewed by compiler(s)" prompt="Tell if the next sheets will be filled for this publication._x000a__x000a_Select Yes or No by clicking on the dropdown arrow." sqref="T2:T100">
      <formula1>yesNo</formula1>
    </dataValidation>
    <dataValidation type="custom" errorStyle="warning" allowBlank="1" showInputMessage="1" showErrorMessage="1" errorTitle="Error: Compiler(s) name(s)" error="No value accepted when the Reviewed by compiler(s) is not 'Yes'" promptTitle="Compiler(s) name(s)" prompt="Please enter each compiler name with the COMPLETE name : the last name first, an space then the given name (no initials)._x000a__x000a_If there is several compilers, please separate each complete name by a slash (/)._x000a__x000a_Example:_x000a_Bourdy, Genevieve / Deharo, Eric" sqref="U2:U100">
      <formula1>T2="Yes"</formula1>
    </dataValidation>
    <dataValidation errorStyle="warning" allowBlank="1" showInputMessage="1" promptTitle="Note from compiler(s)" sqref="V2:V100"/>
  </dataValidations>
  <pageMargins left="0.49583333333333335" right="0.52916666666666667" top="0.49583333333333335" bottom="0.47986111111111113" header="0.51180555555555551" footer="0.51180555555555551"/>
  <pageSetup paperSize="9" scale="31" firstPageNumber="0" orientation="landscape" horizontalDpi="300" verticalDpi="300" r:id="rId1"/>
  <headerFooter alignWithMargins="0"/>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100"/>
  <sheetViews>
    <sheetView zoomScale="115" zoomScaleNormal="115" workbookViewId="0">
      <selection activeCell="B5" sqref="B5"/>
    </sheetView>
  </sheetViews>
  <sheetFormatPr defaultColWidth="10.5703125" defaultRowHeight="12.75" x14ac:dyDescent="0.2"/>
  <cols>
    <col min="1" max="1" width="68" style="13" customWidth="1"/>
    <col min="2" max="2" width="20.28515625" style="13" customWidth="1"/>
    <col min="3" max="3" width="26.5703125" style="13" customWidth="1"/>
    <col min="4" max="4" width="28.42578125" style="13" customWidth="1"/>
    <col min="5" max="5" width="8.85546875" style="13" customWidth="1"/>
    <col min="6" max="6" width="25.7109375" style="13" customWidth="1"/>
    <col min="7" max="7" width="14.85546875" style="13" customWidth="1"/>
    <col min="8" max="8" width="25.5703125" style="35" customWidth="1"/>
    <col min="9" max="10" width="10.5703125" style="35"/>
    <col min="11" max="11" width="77.140625" style="61" hidden="1" customWidth="1"/>
    <col min="12" max="12" width="10.7109375" style="57" customWidth="1"/>
    <col min="13" max="13" width="25.7109375" style="57" customWidth="1"/>
    <col min="14" max="14" width="16.7109375" style="57" customWidth="1"/>
    <col min="15" max="16384" width="10.5703125" style="55"/>
  </cols>
  <sheetData>
    <row r="1" spans="1:14" s="10" customFormat="1" ht="37.5" customHeight="1" x14ac:dyDescent="0.2">
      <c r="A1" s="29" t="s">
        <v>620</v>
      </c>
      <c r="B1" s="40" t="s">
        <v>3</v>
      </c>
      <c r="C1" s="40" t="s">
        <v>21</v>
      </c>
      <c r="D1" s="40" t="s">
        <v>619</v>
      </c>
      <c r="E1" s="29" t="s">
        <v>23</v>
      </c>
      <c r="F1" s="29" t="s">
        <v>24</v>
      </c>
      <c r="G1" s="29" t="s">
        <v>4</v>
      </c>
      <c r="H1" s="29" t="s">
        <v>618</v>
      </c>
      <c r="I1" s="40" t="s">
        <v>6</v>
      </c>
      <c r="J1" s="29" t="s">
        <v>5</v>
      </c>
      <c r="K1" s="37" t="s">
        <v>707</v>
      </c>
    </row>
    <row r="2" spans="1:14" ht="38.25" x14ac:dyDescent="0.2">
      <c r="A2" s="4" t="s">
        <v>719</v>
      </c>
      <c r="B2" s="20" t="s">
        <v>762</v>
      </c>
      <c r="C2" s="20" t="s">
        <v>763</v>
      </c>
      <c r="D2" s="20" t="s">
        <v>764</v>
      </c>
      <c r="E2" s="4" t="s">
        <v>704</v>
      </c>
      <c r="F2" s="4" t="s">
        <v>765</v>
      </c>
      <c r="G2" s="4" t="s">
        <v>766</v>
      </c>
      <c r="H2" s="20" t="s">
        <v>767</v>
      </c>
      <c r="I2" s="4" t="s">
        <v>258</v>
      </c>
      <c r="J2" s="4" t="s">
        <v>294</v>
      </c>
      <c r="K2" s="60" t="str">
        <f t="array" ref="K2">IF(ROWS($C$2:$C2)&gt;COUNTA($C$2:$C$100),"",INDEX($C$2:$C$100,SMALL(IF($C$2:$C$100&lt;&gt;"",ROW($C$2:$C$100)-ROW($C$2)+1),ROWS($K$2:$K2))))</f>
        <v>Ampelozyziphus amazonicus Ducke</v>
      </c>
      <c r="L2" s="55"/>
      <c r="M2" s="55"/>
      <c r="N2" s="55"/>
    </row>
    <row r="3" spans="1:14" ht="25.5" x14ac:dyDescent="0.2">
      <c r="A3" s="4" t="s">
        <v>734</v>
      </c>
      <c r="B3" s="4" t="s">
        <v>768</v>
      </c>
      <c r="C3" s="4" t="s">
        <v>769</v>
      </c>
      <c r="D3" s="4" t="s">
        <v>769</v>
      </c>
      <c r="E3" s="4" t="s">
        <v>704</v>
      </c>
      <c r="F3" s="4" t="s">
        <v>770</v>
      </c>
      <c r="G3" s="4"/>
      <c r="H3" s="20" t="s">
        <v>771</v>
      </c>
      <c r="I3" s="4" t="s">
        <v>126</v>
      </c>
      <c r="J3" s="4" t="s">
        <v>8</v>
      </c>
      <c r="K3" s="60" t="str">
        <f t="array" ref="K3">IF(ROWS($C$2:$C3)&gt;COUNTA($C$2:$C$100),"",INDEX($C$2:$C$100,SMALL(IF($C$2:$C$100&lt;&gt;"",ROW($C$2:$C$100)-ROW($C$2)+1),ROWS($K$2:$K3))))</f>
        <v>Anthocleista djalonensis A. Chev</v>
      </c>
      <c r="L3" s="55"/>
      <c r="M3" s="55"/>
      <c r="N3" s="55"/>
    </row>
    <row r="4" spans="1:14" ht="51" x14ac:dyDescent="0.2">
      <c r="B4" s="13" t="s">
        <v>772</v>
      </c>
      <c r="C4" s="13" t="s">
        <v>773</v>
      </c>
      <c r="D4" s="13" t="s">
        <v>773</v>
      </c>
      <c r="E4" s="13" t="s">
        <v>704</v>
      </c>
      <c r="F4" s="13" t="s">
        <v>774</v>
      </c>
      <c r="G4" s="13" t="s">
        <v>775</v>
      </c>
      <c r="H4" s="20" t="s">
        <v>776</v>
      </c>
      <c r="I4" s="13" t="s">
        <v>126</v>
      </c>
      <c r="J4" s="13" t="s">
        <v>8</v>
      </c>
      <c r="K4" s="60" t="str">
        <f t="array" ref="K4">IF(ROWS($C$2:$C4)&gt;COUNTA($C$2:$C$100),"",INDEX($C$2:$C$100,SMALL(IF($C$2:$C$100&lt;&gt;"",ROW($C$2:$C$100)-ROW($C$2)+1),ROWS($K$2:$K4))))</f>
        <v>Maerua crassifolia Forssk</v>
      </c>
      <c r="L4" s="55"/>
      <c r="M4" s="55"/>
      <c r="N4" s="55"/>
    </row>
    <row r="5" spans="1:14" ht="51" x14ac:dyDescent="0.2">
      <c r="B5" s="13" t="s">
        <v>777</v>
      </c>
      <c r="C5" s="13" t="s">
        <v>778</v>
      </c>
      <c r="D5" s="13" t="s">
        <v>779</v>
      </c>
      <c r="E5" s="13" t="s">
        <v>704</v>
      </c>
      <c r="F5" s="13" t="s">
        <v>770</v>
      </c>
      <c r="G5" s="13" t="s">
        <v>780</v>
      </c>
      <c r="H5" s="20" t="s">
        <v>781</v>
      </c>
      <c r="I5" s="13" t="s">
        <v>126</v>
      </c>
      <c r="J5" s="13" t="s">
        <v>8</v>
      </c>
      <c r="K5" s="60" t="str">
        <f t="array" ref="K5">IF(ROWS($C$2:$C5)&gt;COUNTA($C$2:$C$100),"",INDEX($C$2:$C$100,SMALL(IF($C$2:$C$100&lt;&gt;"",ROW($C$2:$C$100)-ROW($C$2)+1),ROWS($K$2:$K5))))</f>
        <v>Eleucina indica L. Gaertn</v>
      </c>
      <c r="L5" s="55"/>
      <c r="M5" s="55"/>
      <c r="N5" s="55"/>
    </row>
    <row r="6" spans="1:14" x14ac:dyDescent="0.2">
      <c r="H6" s="20"/>
      <c r="I6" s="13"/>
      <c r="J6" s="13"/>
      <c r="K6" s="60" t="str">
        <f t="array" ref="K6">IF(ROWS($C$2:$C6)&gt;COUNTA($C$2:$C$100),"",INDEX($C$2:$C$100,SMALL(IF($C$2:$C$100&lt;&gt;"",ROW($C$2:$C$100)-ROW($C$2)+1),ROWS($K$2:$K6))))</f>
        <v/>
      </c>
      <c r="L6" s="55"/>
      <c r="M6" s="55"/>
      <c r="N6" s="55"/>
    </row>
    <row r="7" spans="1:14" x14ac:dyDescent="0.2">
      <c r="E7" s="21"/>
      <c r="H7" s="20"/>
      <c r="I7" s="13"/>
      <c r="J7" s="13"/>
      <c r="K7" s="60" t="str">
        <f t="array" ref="K7">IF(ROWS($C$2:$C7)&gt;COUNTA($C$2:$C$100),"",INDEX($C$2:$C$100,SMALL(IF($C$2:$C$100&lt;&gt;"",ROW($C$2:$C$100)-ROW($C$2)+1),ROWS($K$2:$K7))))</f>
        <v/>
      </c>
      <c r="L7" s="55"/>
      <c r="M7" s="55"/>
      <c r="N7" s="55"/>
    </row>
    <row r="8" spans="1:14" x14ac:dyDescent="0.2">
      <c r="H8" s="20"/>
      <c r="I8" s="13"/>
      <c r="J8" s="13"/>
      <c r="K8" s="60" t="str">
        <f t="array" ref="K8">IF(ROWS($C$2:$C8)&gt;COUNTA($C$2:$C$100),"",INDEX($C$2:$C$100,SMALL(IF($C$2:$C$100&lt;&gt;"",ROW($C$2:$C$100)-ROW($C$2)+1),ROWS($K$2:$K8))))</f>
        <v/>
      </c>
      <c r="L8" s="55"/>
      <c r="M8" s="55"/>
      <c r="N8" s="55"/>
    </row>
    <row r="9" spans="1:14" x14ac:dyDescent="0.2">
      <c r="H9" s="20"/>
      <c r="I9" s="13"/>
      <c r="J9" s="13"/>
      <c r="K9" s="60" t="str">
        <f t="array" ref="K9">IF(ROWS($C$2:$C9)&gt;COUNTA($C$2:$C$100),"",INDEX($C$2:$C$100,SMALL(IF($C$2:$C$100&lt;&gt;"",ROW($C$2:$C$100)-ROW($C$2)+1),ROWS($K$2:$K9))))</f>
        <v/>
      </c>
      <c r="L9" s="55"/>
      <c r="M9" s="55"/>
      <c r="N9" s="55"/>
    </row>
    <row r="10" spans="1:14" x14ac:dyDescent="0.2">
      <c r="H10" s="20"/>
      <c r="I10" s="13"/>
      <c r="J10" s="13"/>
      <c r="K10" s="60" t="str">
        <f t="array" ref="K10">IF(ROWS($C$2:$C10)&gt;COUNTA($C$2:$C$100),"",INDEX($C$2:$C$100,SMALL(IF($C$2:$C$100&lt;&gt;"",ROW($C$2:$C$100)-ROW($C$2)+1),ROWS($K$2:$K10))))</f>
        <v/>
      </c>
      <c r="L10" s="55"/>
      <c r="M10" s="55"/>
      <c r="N10" s="55"/>
    </row>
    <row r="11" spans="1:14" x14ac:dyDescent="0.2">
      <c r="H11" s="13"/>
      <c r="I11" s="13"/>
      <c r="J11" s="13"/>
      <c r="K11" s="60" t="str">
        <f t="array" ref="K11">IF(ROWS($C$2:$C11)&gt;COUNTA($C$2:$C$100),"",INDEX($C$2:$C$100,SMALL(IF($C$2:$C$100&lt;&gt;"",ROW($C$2:$C$100)-ROW($C$2)+1),ROWS($K$2:$K11))))</f>
        <v/>
      </c>
      <c r="L11" s="55"/>
      <c r="M11" s="55"/>
      <c r="N11" s="55"/>
    </row>
    <row r="12" spans="1:14" x14ac:dyDescent="0.2">
      <c r="H12" s="13"/>
      <c r="I12" s="13"/>
      <c r="J12" s="13"/>
      <c r="K12" s="60" t="str">
        <f t="array" ref="K12">IF(ROWS($C$2:$C12)&gt;COUNTA($C$2:$C$100),"",INDEX($C$2:$C$100,SMALL(IF($C$2:$C$100&lt;&gt;"",ROW($C$2:$C$100)-ROW($C$2)+1),ROWS($K$2:$K12))))</f>
        <v/>
      </c>
      <c r="L12" s="55"/>
      <c r="M12" s="55"/>
      <c r="N12" s="55"/>
    </row>
    <row r="13" spans="1:14" x14ac:dyDescent="0.2">
      <c r="H13" s="13"/>
      <c r="I13" s="13"/>
      <c r="J13" s="13"/>
      <c r="K13" s="60" t="str">
        <f t="array" ref="K13">IF(ROWS($C$2:$C13)&gt;COUNTA($C$2:$C$100),"",INDEX($C$2:$C$100,SMALL(IF($C$2:$C$100&lt;&gt;"",ROW($C$2:$C$100)-ROW($C$2)+1),ROWS($K$2:$K13))))</f>
        <v/>
      </c>
      <c r="L13" s="55"/>
      <c r="M13" s="55"/>
      <c r="N13" s="55"/>
    </row>
    <row r="14" spans="1:14" x14ac:dyDescent="0.2">
      <c r="H14" s="13"/>
      <c r="I14" s="13"/>
      <c r="J14" s="13"/>
      <c r="K14" s="60" t="str">
        <f t="array" ref="K14">IF(ROWS($C$2:$C14)&gt;COUNTA($C$2:$C$100),"",INDEX($C$2:$C$100,SMALL(IF($C$2:$C$100&lt;&gt;"",ROW($C$2:$C$100)-ROW($C$2)+1),ROWS($K$2:$K14))))</f>
        <v/>
      </c>
      <c r="L14" s="55"/>
      <c r="M14" s="55"/>
      <c r="N14" s="55"/>
    </row>
    <row r="15" spans="1:14" x14ac:dyDescent="0.2">
      <c r="H15" s="13"/>
      <c r="I15" s="13"/>
      <c r="J15" s="13"/>
      <c r="K15" s="60" t="str">
        <f t="array" ref="K15">IF(ROWS($C$2:$C15)&gt;COUNTA($C$2:$C$100),"",INDEX($C$2:$C$100,SMALL(IF($C$2:$C$100&lt;&gt;"",ROW($C$2:$C$100)-ROW($C$2)+1),ROWS($K$2:$K15))))</f>
        <v/>
      </c>
      <c r="L15" s="55"/>
      <c r="M15" s="55"/>
      <c r="N15" s="55"/>
    </row>
    <row r="16" spans="1:14" x14ac:dyDescent="0.2">
      <c r="H16" s="13"/>
      <c r="I16" s="13"/>
      <c r="J16" s="13"/>
      <c r="K16" s="60" t="str">
        <f t="array" ref="K16">IF(ROWS($C$2:$C16)&gt;COUNTA($C$2:$C$100),"",INDEX($C$2:$C$100,SMALL(IF($C$2:$C$100&lt;&gt;"",ROW($C$2:$C$100)-ROW($C$2)+1),ROWS($K$2:$K16))))</f>
        <v/>
      </c>
      <c r="L16" s="55"/>
      <c r="M16" s="55"/>
      <c r="N16" s="55"/>
    </row>
    <row r="17" spans="8:14" x14ac:dyDescent="0.2">
      <c r="H17" s="13"/>
      <c r="I17" s="13"/>
      <c r="J17" s="13"/>
      <c r="K17" s="60" t="str">
        <f t="array" ref="K17">IF(ROWS($C$2:$C17)&gt;COUNTA($C$2:$C$100),"",INDEX($C$2:$C$100,SMALL(IF($C$2:$C$100&lt;&gt;"",ROW($C$2:$C$100)-ROW($C$2)+1),ROWS($K$2:$K17))))</f>
        <v/>
      </c>
      <c r="L17" s="55"/>
      <c r="M17" s="55"/>
      <c r="N17" s="55"/>
    </row>
    <row r="18" spans="8:14" x14ac:dyDescent="0.2">
      <c r="H18" s="13"/>
      <c r="I18" s="13"/>
      <c r="J18" s="13"/>
      <c r="K18" s="60" t="str">
        <f t="array" ref="K18">IF(ROWS($C$2:$C18)&gt;COUNTA($C$2:$C$100),"",INDEX($C$2:$C$100,SMALL(IF($C$2:$C$100&lt;&gt;"",ROW($C$2:$C$100)-ROW($C$2)+1),ROWS($K$2:$K18))))</f>
        <v/>
      </c>
      <c r="L18" s="55"/>
      <c r="M18" s="55"/>
      <c r="N18" s="55"/>
    </row>
    <row r="19" spans="8:14" x14ac:dyDescent="0.2">
      <c r="H19" s="13"/>
      <c r="I19" s="13"/>
      <c r="J19" s="13"/>
      <c r="K19" s="60" t="str">
        <f t="array" ref="K19">IF(ROWS($C$2:$C19)&gt;COUNTA($C$2:$C$100),"",INDEX($C$2:$C$100,SMALL(IF($C$2:$C$100&lt;&gt;"",ROW($C$2:$C$100)-ROW($C$2)+1),ROWS($K$2:$K19))))</f>
        <v/>
      </c>
      <c r="L19" s="55"/>
      <c r="M19" s="55"/>
      <c r="N19" s="55"/>
    </row>
    <row r="20" spans="8:14" x14ac:dyDescent="0.2">
      <c r="H20" s="13"/>
      <c r="I20" s="13"/>
      <c r="J20" s="13"/>
      <c r="K20" s="60" t="str">
        <f t="array" ref="K20">IF(ROWS($C$2:$C20)&gt;COUNTA($C$2:$C$100),"",INDEX($C$2:$C$100,SMALL(IF($C$2:$C$100&lt;&gt;"",ROW($C$2:$C$100)-ROW($C$2)+1),ROWS($K$2:$K20))))</f>
        <v/>
      </c>
      <c r="L20" s="55"/>
      <c r="M20" s="55"/>
      <c r="N20" s="55"/>
    </row>
    <row r="21" spans="8:14" x14ac:dyDescent="0.2">
      <c r="H21" s="13"/>
      <c r="I21" s="13"/>
      <c r="J21" s="13"/>
      <c r="K21" s="60" t="str">
        <f t="array" ref="K21">IF(ROWS($C$2:$C21)&gt;COUNTA($C$2:$C$100),"",INDEX($C$2:$C$100,SMALL(IF($C$2:$C$100&lt;&gt;"",ROW($C$2:$C$100)-ROW($C$2)+1),ROWS($K$2:$K21))))</f>
        <v/>
      </c>
      <c r="L21" s="55"/>
      <c r="M21" s="55"/>
      <c r="N21" s="55"/>
    </row>
    <row r="22" spans="8:14" x14ac:dyDescent="0.2">
      <c r="H22" s="13"/>
      <c r="I22" s="13"/>
      <c r="J22" s="13"/>
      <c r="K22" s="60" t="str">
        <f t="array" ref="K22">IF(ROWS($C$2:$C22)&gt;COUNTA($C$2:$C$100),"",INDEX($C$2:$C$100,SMALL(IF($C$2:$C$100&lt;&gt;"",ROW($C$2:$C$100)-ROW($C$2)+1),ROWS($K$2:$K22))))</f>
        <v/>
      </c>
      <c r="L22" s="55"/>
      <c r="M22" s="55"/>
      <c r="N22" s="55"/>
    </row>
    <row r="23" spans="8:14" x14ac:dyDescent="0.2">
      <c r="H23" s="13"/>
      <c r="I23" s="13"/>
      <c r="J23" s="13"/>
      <c r="K23" s="60" t="str">
        <f t="array" ref="K23">IF(ROWS($C$2:$C23)&gt;COUNTA($C$2:$C$100),"",INDEX($C$2:$C$100,SMALL(IF($C$2:$C$100&lt;&gt;"",ROW($C$2:$C$100)-ROW($C$2)+1),ROWS($K$2:$K23))))</f>
        <v/>
      </c>
      <c r="L23" s="55"/>
      <c r="M23" s="55"/>
      <c r="N23" s="55"/>
    </row>
    <row r="24" spans="8:14" x14ac:dyDescent="0.2">
      <c r="H24" s="13"/>
      <c r="I24" s="13"/>
      <c r="J24" s="13"/>
      <c r="K24" s="60" t="str">
        <f t="array" ref="K24">IF(ROWS($C$2:$C24)&gt;COUNTA($C$2:$C$100),"",INDEX($C$2:$C$100,SMALL(IF($C$2:$C$100&lt;&gt;"",ROW($C$2:$C$100)-ROW($C$2)+1),ROWS($K$2:$K24))))</f>
        <v/>
      </c>
      <c r="L24" s="55"/>
      <c r="M24" s="55"/>
      <c r="N24" s="55"/>
    </row>
    <row r="25" spans="8:14" x14ac:dyDescent="0.2">
      <c r="H25" s="13"/>
      <c r="I25" s="13"/>
      <c r="J25" s="13"/>
      <c r="K25" s="60" t="str">
        <f t="array" ref="K25">IF(ROWS($C$2:$C25)&gt;COUNTA($C$2:$C$100),"",INDEX($C$2:$C$100,SMALL(IF($C$2:$C$100&lt;&gt;"",ROW($C$2:$C$100)-ROW($C$2)+1),ROWS($K$2:$K25))))</f>
        <v/>
      </c>
      <c r="L25" s="55"/>
      <c r="M25" s="55"/>
      <c r="N25" s="55"/>
    </row>
    <row r="26" spans="8:14" x14ac:dyDescent="0.2">
      <c r="H26" s="13"/>
      <c r="I26" s="13"/>
      <c r="J26" s="13"/>
      <c r="K26" s="60" t="str">
        <f t="array" ref="K26">IF(ROWS($C$2:$C26)&gt;COUNTA($C$2:$C$100),"",INDEX($C$2:$C$100,SMALL(IF($C$2:$C$100&lt;&gt;"",ROW($C$2:$C$100)-ROW($C$2)+1),ROWS($K$2:$K26))))</f>
        <v/>
      </c>
      <c r="L26" s="55"/>
      <c r="M26" s="55"/>
      <c r="N26" s="55"/>
    </row>
    <row r="27" spans="8:14" x14ac:dyDescent="0.2">
      <c r="H27" s="13"/>
      <c r="I27" s="13"/>
      <c r="J27" s="13"/>
      <c r="K27" s="60" t="str">
        <f t="array" ref="K27">IF(ROWS($C$2:$C27)&gt;COUNTA($C$2:$C$100),"",INDEX($C$2:$C$100,SMALL(IF($C$2:$C$100&lt;&gt;"",ROW($C$2:$C$100)-ROW($C$2)+1),ROWS($K$2:$K27))))</f>
        <v/>
      </c>
      <c r="L27" s="55"/>
      <c r="M27" s="55"/>
      <c r="N27" s="55"/>
    </row>
    <row r="28" spans="8:14" x14ac:dyDescent="0.2">
      <c r="H28" s="13"/>
      <c r="I28" s="13"/>
      <c r="J28" s="13"/>
      <c r="K28" s="60" t="str">
        <f t="array" ref="K28">IF(ROWS($C$2:$C28)&gt;COUNTA($C$2:$C$100),"",INDEX($C$2:$C$100,SMALL(IF($C$2:$C$100&lt;&gt;"",ROW($C$2:$C$100)-ROW($C$2)+1),ROWS($K$2:$K28))))</f>
        <v/>
      </c>
      <c r="L28" s="55"/>
      <c r="M28" s="55"/>
      <c r="N28" s="55"/>
    </row>
    <row r="29" spans="8:14" x14ac:dyDescent="0.2">
      <c r="H29" s="13"/>
      <c r="I29" s="13"/>
      <c r="J29" s="13"/>
      <c r="K29" s="60" t="str">
        <f t="array" ref="K29">IF(ROWS($C$2:$C29)&gt;COUNTA($C$2:$C$100),"",INDEX($C$2:$C$100,SMALL(IF($C$2:$C$100&lt;&gt;"",ROW($C$2:$C$100)-ROW($C$2)+1),ROWS($K$2:$K29))))</f>
        <v/>
      </c>
      <c r="L29" s="55"/>
      <c r="M29" s="55"/>
      <c r="N29" s="55"/>
    </row>
    <row r="30" spans="8:14" x14ac:dyDescent="0.2">
      <c r="H30" s="13"/>
      <c r="I30" s="13"/>
      <c r="J30" s="13"/>
      <c r="K30" s="60" t="str">
        <f t="array" ref="K30">IF(ROWS($C$2:$C30)&gt;COUNTA($C$2:$C$100),"",INDEX($C$2:$C$100,SMALL(IF($C$2:$C$100&lt;&gt;"",ROW($C$2:$C$100)-ROW($C$2)+1),ROWS($K$2:$K30))))</f>
        <v/>
      </c>
      <c r="L30" s="55"/>
      <c r="M30" s="55"/>
      <c r="N30" s="55"/>
    </row>
    <row r="31" spans="8:14" x14ac:dyDescent="0.2">
      <c r="H31" s="13"/>
      <c r="I31" s="13"/>
      <c r="J31" s="13"/>
      <c r="K31" s="60" t="str">
        <f t="array" ref="K31">IF(ROWS($C$2:$C31)&gt;COUNTA($C$2:$C$100),"",INDEX($C$2:$C$100,SMALL(IF($C$2:$C$100&lt;&gt;"",ROW($C$2:$C$100)-ROW($C$2)+1),ROWS($K$2:$K31))))</f>
        <v/>
      </c>
      <c r="L31" s="55"/>
      <c r="M31" s="55"/>
      <c r="N31" s="55"/>
    </row>
    <row r="32" spans="8:14" x14ac:dyDescent="0.2">
      <c r="H32" s="13"/>
      <c r="I32" s="13"/>
      <c r="J32" s="13"/>
      <c r="K32" s="60" t="str">
        <f t="array" ref="K32">IF(ROWS($C$2:$C32)&gt;COUNTA($C$2:$C$100),"",INDEX($C$2:$C$100,SMALL(IF($C$2:$C$100&lt;&gt;"",ROW($C$2:$C$100)-ROW($C$2)+1),ROWS($K$2:$K32))))</f>
        <v/>
      </c>
      <c r="L32" s="55"/>
      <c r="M32" s="55"/>
      <c r="N32" s="55"/>
    </row>
    <row r="33" spans="8:14" x14ac:dyDescent="0.2">
      <c r="H33" s="13"/>
      <c r="I33" s="13"/>
      <c r="J33" s="13"/>
      <c r="K33" s="60" t="str">
        <f t="array" ref="K33">IF(ROWS($C$2:$C33)&gt;COUNTA($C$2:$C$100),"",INDEX($C$2:$C$100,SMALL(IF($C$2:$C$100&lt;&gt;"",ROW($C$2:$C$100)-ROW($C$2)+1),ROWS($K$2:$K33))))</f>
        <v/>
      </c>
      <c r="L33" s="55"/>
      <c r="M33" s="55"/>
      <c r="N33" s="55"/>
    </row>
    <row r="34" spans="8:14" x14ac:dyDescent="0.2">
      <c r="H34" s="13"/>
      <c r="I34" s="13"/>
      <c r="J34" s="13"/>
      <c r="K34" s="60" t="str">
        <f t="array" ref="K34">IF(ROWS($C$2:$C34)&gt;COUNTA($C$2:$C$100),"",INDEX($C$2:$C$100,SMALL(IF($C$2:$C$100&lt;&gt;"",ROW($C$2:$C$100)-ROW($C$2)+1),ROWS($K$2:$K34))))</f>
        <v/>
      </c>
      <c r="L34" s="55"/>
      <c r="M34" s="55"/>
      <c r="N34" s="55"/>
    </row>
    <row r="35" spans="8:14" x14ac:dyDescent="0.2">
      <c r="H35" s="13"/>
      <c r="I35" s="13"/>
      <c r="J35" s="13"/>
      <c r="K35" s="60" t="str">
        <f t="array" ref="K35">IF(ROWS($C$2:$C35)&gt;COUNTA($C$2:$C$100),"",INDEX($C$2:$C$100,SMALL(IF($C$2:$C$100&lt;&gt;"",ROW($C$2:$C$100)-ROW($C$2)+1),ROWS($K$2:$K35))))</f>
        <v/>
      </c>
      <c r="L35" s="55"/>
      <c r="M35" s="55"/>
      <c r="N35" s="55"/>
    </row>
    <row r="36" spans="8:14" x14ac:dyDescent="0.2">
      <c r="H36" s="13"/>
      <c r="I36" s="13"/>
      <c r="J36" s="13"/>
      <c r="K36" s="60" t="str">
        <f t="array" ref="K36">IF(ROWS($C$2:$C36)&gt;COUNTA($C$2:$C$100),"",INDEX($C$2:$C$100,SMALL(IF($C$2:$C$100&lt;&gt;"",ROW($C$2:$C$100)-ROW($C$2)+1),ROWS($K$2:$K36))))</f>
        <v/>
      </c>
      <c r="L36" s="55"/>
      <c r="M36" s="55"/>
      <c r="N36" s="55"/>
    </row>
    <row r="37" spans="8:14" x14ac:dyDescent="0.2">
      <c r="H37" s="13"/>
      <c r="I37" s="13"/>
      <c r="J37" s="13"/>
      <c r="K37" s="60" t="str">
        <f t="array" ref="K37">IF(ROWS($C$2:$C37)&gt;COUNTA($C$2:$C$100),"",INDEX($C$2:$C$100,SMALL(IF($C$2:$C$100&lt;&gt;"",ROW($C$2:$C$100)-ROW($C$2)+1),ROWS($K$2:$K37))))</f>
        <v/>
      </c>
      <c r="L37" s="55"/>
      <c r="M37" s="55"/>
      <c r="N37" s="55"/>
    </row>
    <row r="38" spans="8:14" x14ac:dyDescent="0.2">
      <c r="H38" s="13"/>
      <c r="I38" s="13"/>
      <c r="J38" s="13"/>
      <c r="K38" s="60" t="str">
        <f t="array" ref="K38">IF(ROWS($C$2:$C38)&gt;COUNTA($C$2:$C$100),"",INDEX($C$2:$C$100,SMALL(IF($C$2:$C$100&lt;&gt;"",ROW($C$2:$C$100)-ROW($C$2)+1),ROWS($K$2:$K38))))</f>
        <v/>
      </c>
      <c r="L38" s="55"/>
      <c r="M38" s="55"/>
      <c r="N38" s="55"/>
    </row>
    <row r="39" spans="8:14" x14ac:dyDescent="0.2">
      <c r="H39" s="13"/>
      <c r="I39" s="13"/>
      <c r="J39" s="13"/>
      <c r="K39" s="60" t="str">
        <f t="array" ref="K39">IF(ROWS($C$2:$C39)&gt;COUNTA($C$2:$C$100),"",INDEX($C$2:$C$100,SMALL(IF($C$2:$C$100&lt;&gt;"",ROW($C$2:$C$100)-ROW($C$2)+1),ROWS($K$2:$K39))))</f>
        <v/>
      </c>
      <c r="L39" s="55"/>
      <c r="M39" s="55"/>
      <c r="N39" s="55"/>
    </row>
    <row r="40" spans="8:14" x14ac:dyDescent="0.2">
      <c r="H40" s="13"/>
      <c r="I40" s="13"/>
      <c r="J40" s="13"/>
      <c r="K40" s="60" t="str">
        <f t="array" ref="K40">IF(ROWS($C$2:$C40)&gt;COUNTA($C$2:$C$100),"",INDEX($C$2:$C$100,SMALL(IF($C$2:$C$100&lt;&gt;"",ROW($C$2:$C$100)-ROW($C$2)+1),ROWS($K$2:$K40))))</f>
        <v/>
      </c>
      <c r="L40" s="55"/>
      <c r="M40" s="55"/>
      <c r="N40" s="55"/>
    </row>
    <row r="41" spans="8:14" x14ac:dyDescent="0.2">
      <c r="H41" s="13"/>
      <c r="I41" s="13"/>
      <c r="J41" s="13"/>
      <c r="K41" s="60" t="str">
        <f t="array" ref="K41">IF(ROWS($C$2:$C41)&gt;COUNTA($C$2:$C$100),"",INDEX($C$2:$C$100,SMALL(IF($C$2:$C$100&lt;&gt;"",ROW($C$2:$C$100)-ROW($C$2)+1),ROWS($K$2:$K41))))</f>
        <v/>
      </c>
      <c r="L41" s="55"/>
      <c r="M41" s="55"/>
      <c r="N41" s="55"/>
    </row>
    <row r="42" spans="8:14" x14ac:dyDescent="0.2">
      <c r="H42" s="13"/>
      <c r="I42" s="13"/>
      <c r="J42" s="13"/>
      <c r="K42" s="60" t="str">
        <f t="array" ref="K42">IF(ROWS($C$2:$C42)&gt;COUNTA($C$2:$C$100),"",INDEX($C$2:$C$100,SMALL(IF($C$2:$C$100&lt;&gt;"",ROW($C$2:$C$100)-ROW($C$2)+1),ROWS($K$2:$K42))))</f>
        <v/>
      </c>
      <c r="L42" s="55"/>
      <c r="M42" s="55"/>
      <c r="N42" s="55"/>
    </row>
    <row r="43" spans="8:14" x14ac:dyDescent="0.2">
      <c r="H43" s="13"/>
      <c r="I43" s="13"/>
      <c r="J43" s="13"/>
      <c r="K43" s="60" t="str">
        <f t="array" ref="K43">IF(ROWS($C$2:$C43)&gt;COUNTA($C$2:$C$100),"",INDEX($C$2:$C$100,SMALL(IF($C$2:$C$100&lt;&gt;"",ROW($C$2:$C$100)-ROW($C$2)+1),ROWS($K$2:$K43))))</f>
        <v/>
      </c>
      <c r="L43" s="55"/>
      <c r="M43" s="55"/>
      <c r="N43" s="55"/>
    </row>
    <row r="44" spans="8:14" x14ac:dyDescent="0.2">
      <c r="H44" s="13"/>
      <c r="I44" s="13"/>
      <c r="J44" s="13"/>
      <c r="K44" s="60" t="str">
        <f t="array" ref="K44">IF(ROWS($C$2:$C44)&gt;COUNTA($C$2:$C$100),"",INDEX($C$2:$C$100,SMALL(IF($C$2:$C$100&lt;&gt;"",ROW($C$2:$C$100)-ROW($C$2)+1),ROWS($K$2:$K44))))</f>
        <v/>
      </c>
      <c r="L44" s="55"/>
      <c r="M44" s="55"/>
      <c r="N44" s="55"/>
    </row>
    <row r="45" spans="8:14" x14ac:dyDescent="0.2">
      <c r="H45" s="13"/>
      <c r="I45" s="13"/>
      <c r="J45" s="13"/>
      <c r="K45" s="60" t="str">
        <f t="array" ref="K45">IF(ROWS($C$2:$C45)&gt;COUNTA($C$2:$C$100),"",INDEX($C$2:$C$100,SMALL(IF($C$2:$C$100&lt;&gt;"",ROW($C$2:$C$100)-ROW($C$2)+1),ROWS($K$2:$K45))))</f>
        <v/>
      </c>
      <c r="L45" s="55"/>
      <c r="M45" s="55"/>
      <c r="N45" s="55"/>
    </row>
    <row r="46" spans="8:14" x14ac:dyDescent="0.2">
      <c r="H46" s="13"/>
      <c r="I46" s="13"/>
      <c r="J46" s="13"/>
      <c r="K46" s="60" t="str">
        <f t="array" ref="K46">IF(ROWS($C$2:$C46)&gt;COUNTA($C$2:$C$100),"",INDEX($C$2:$C$100,SMALL(IF($C$2:$C$100&lt;&gt;"",ROW($C$2:$C$100)-ROW($C$2)+1),ROWS($K$2:$K46))))</f>
        <v/>
      </c>
      <c r="L46" s="55"/>
      <c r="M46" s="55"/>
      <c r="N46" s="55"/>
    </row>
    <row r="47" spans="8:14" x14ac:dyDescent="0.2">
      <c r="H47" s="13"/>
      <c r="I47" s="13"/>
      <c r="J47" s="13"/>
      <c r="K47" s="60" t="str">
        <f t="array" ref="K47">IF(ROWS($C$2:$C47)&gt;COUNTA($C$2:$C$100),"",INDEX($C$2:$C$100,SMALL(IF($C$2:$C$100&lt;&gt;"",ROW($C$2:$C$100)-ROW($C$2)+1),ROWS($K$2:$K47))))</f>
        <v/>
      </c>
      <c r="L47" s="55"/>
      <c r="M47" s="55"/>
      <c r="N47" s="55"/>
    </row>
    <row r="48" spans="8:14" x14ac:dyDescent="0.2">
      <c r="H48" s="13"/>
      <c r="I48" s="13"/>
      <c r="J48" s="13"/>
      <c r="K48" s="60" t="str">
        <f t="array" ref="K48">IF(ROWS($C$2:$C48)&gt;COUNTA($C$2:$C$100),"",INDEX($C$2:$C$100,SMALL(IF($C$2:$C$100&lt;&gt;"",ROW($C$2:$C$100)-ROW($C$2)+1),ROWS($K$2:$K48))))</f>
        <v/>
      </c>
      <c r="L48" s="55"/>
      <c r="M48" s="55"/>
      <c r="N48" s="55"/>
    </row>
    <row r="49" spans="8:14" x14ac:dyDescent="0.2">
      <c r="H49" s="13"/>
      <c r="I49" s="13"/>
      <c r="J49" s="13"/>
      <c r="K49" s="60" t="str">
        <f t="array" ref="K49">IF(ROWS($C$2:$C49)&gt;COUNTA($C$2:$C$100),"",INDEX($C$2:$C$100,SMALL(IF($C$2:$C$100&lt;&gt;"",ROW($C$2:$C$100)-ROW($C$2)+1),ROWS($K$2:$K49))))</f>
        <v/>
      </c>
      <c r="L49" s="55"/>
      <c r="M49" s="55"/>
      <c r="N49" s="55"/>
    </row>
    <row r="50" spans="8:14" x14ac:dyDescent="0.2">
      <c r="H50" s="13"/>
      <c r="I50" s="13"/>
      <c r="J50" s="13"/>
      <c r="K50" s="60" t="str">
        <f t="array" ref="K50">IF(ROWS($C$2:$C50)&gt;COUNTA($C$2:$C$100),"",INDEX($C$2:$C$100,SMALL(IF($C$2:$C$100&lt;&gt;"",ROW($C$2:$C$100)-ROW($C$2)+1),ROWS($K$2:$K50))))</f>
        <v/>
      </c>
      <c r="L50" s="55"/>
      <c r="M50" s="55"/>
      <c r="N50" s="55"/>
    </row>
    <row r="51" spans="8:14" x14ac:dyDescent="0.2">
      <c r="H51" s="13"/>
      <c r="I51" s="13"/>
      <c r="J51" s="13"/>
      <c r="K51" s="60" t="str">
        <f t="array" ref="K51">IF(ROWS($C$2:$C51)&gt;COUNTA($C$2:$C$100),"",INDEX($C$2:$C$100,SMALL(IF($C$2:$C$100&lt;&gt;"",ROW($C$2:$C$100)-ROW($C$2)+1),ROWS($K$2:$K51))))</f>
        <v/>
      </c>
      <c r="L51" s="55"/>
      <c r="M51" s="55"/>
      <c r="N51" s="55"/>
    </row>
    <row r="52" spans="8:14" x14ac:dyDescent="0.2">
      <c r="H52" s="13"/>
      <c r="I52" s="13"/>
      <c r="J52" s="13"/>
      <c r="K52" s="60" t="str">
        <f t="array" ref="K52">IF(ROWS($C$2:$C52)&gt;COUNTA($C$2:$C$100),"",INDEX($C$2:$C$100,SMALL(IF($C$2:$C$100&lt;&gt;"",ROW($C$2:$C$100)-ROW($C$2)+1),ROWS($K$2:$K52))))</f>
        <v/>
      </c>
      <c r="L52" s="55"/>
      <c r="M52" s="55"/>
      <c r="N52" s="55"/>
    </row>
    <row r="53" spans="8:14" x14ac:dyDescent="0.2">
      <c r="H53" s="13"/>
      <c r="I53" s="13"/>
      <c r="J53" s="13"/>
      <c r="K53" s="60" t="str">
        <f t="array" ref="K53">IF(ROWS($C$2:$C53)&gt;COUNTA($C$2:$C$100),"",INDEX($C$2:$C$100,SMALL(IF($C$2:$C$100&lt;&gt;"",ROW($C$2:$C$100)-ROW($C$2)+1),ROWS($K$2:$K53))))</f>
        <v/>
      </c>
      <c r="L53" s="55"/>
      <c r="M53" s="55"/>
      <c r="N53" s="55"/>
    </row>
    <row r="54" spans="8:14" x14ac:dyDescent="0.2">
      <c r="H54" s="13"/>
      <c r="I54" s="13"/>
      <c r="J54" s="13"/>
      <c r="K54" s="60" t="str">
        <f t="array" ref="K54">IF(ROWS($C$2:$C54)&gt;COUNTA($C$2:$C$100),"",INDEX($C$2:$C$100,SMALL(IF($C$2:$C$100&lt;&gt;"",ROW($C$2:$C$100)-ROW($C$2)+1),ROWS($K$2:$K54))))</f>
        <v/>
      </c>
      <c r="L54" s="55"/>
      <c r="M54" s="55"/>
      <c r="N54" s="55"/>
    </row>
    <row r="55" spans="8:14" x14ac:dyDescent="0.2">
      <c r="H55" s="13"/>
      <c r="I55" s="13"/>
      <c r="J55" s="13"/>
      <c r="K55" s="60" t="str">
        <f t="array" ref="K55">IF(ROWS($C$2:$C55)&gt;COUNTA($C$2:$C$100),"",INDEX($C$2:$C$100,SMALL(IF($C$2:$C$100&lt;&gt;"",ROW($C$2:$C$100)-ROW($C$2)+1),ROWS($K$2:$K55))))</f>
        <v/>
      </c>
      <c r="L55" s="55"/>
      <c r="M55" s="55"/>
      <c r="N55" s="55"/>
    </row>
    <row r="56" spans="8:14" x14ac:dyDescent="0.2">
      <c r="H56" s="13"/>
      <c r="I56" s="13"/>
      <c r="J56" s="13"/>
      <c r="K56" s="60" t="str">
        <f t="array" ref="K56">IF(ROWS($C$2:$C56)&gt;COUNTA($C$2:$C$100),"",INDEX($C$2:$C$100,SMALL(IF($C$2:$C$100&lt;&gt;"",ROW($C$2:$C$100)-ROW($C$2)+1),ROWS($K$2:$K56))))</f>
        <v/>
      </c>
      <c r="L56" s="55"/>
      <c r="M56" s="55"/>
      <c r="N56" s="55"/>
    </row>
    <row r="57" spans="8:14" x14ac:dyDescent="0.2">
      <c r="H57" s="13"/>
      <c r="I57" s="13"/>
      <c r="J57" s="13"/>
      <c r="K57" s="60" t="str">
        <f t="array" ref="K57">IF(ROWS($C$2:$C57)&gt;COUNTA($C$2:$C$100),"",INDEX($C$2:$C$100,SMALL(IF($C$2:$C$100&lt;&gt;"",ROW($C$2:$C$100)-ROW($C$2)+1),ROWS($K$2:$K57))))</f>
        <v/>
      </c>
      <c r="L57" s="55"/>
      <c r="M57" s="55"/>
      <c r="N57" s="55"/>
    </row>
    <row r="58" spans="8:14" x14ac:dyDescent="0.2">
      <c r="H58" s="13"/>
      <c r="I58" s="13"/>
      <c r="J58" s="13"/>
      <c r="K58" s="60" t="str">
        <f t="array" ref="K58">IF(ROWS($C$2:$C58)&gt;COUNTA($C$2:$C$100),"",INDEX($C$2:$C$100,SMALL(IF($C$2:$C$100&lt;&gt;"",ROW($C$2:$C$100)-ROW($C$2)+1),ROWS($K$2:$K58))))</f>
        <v/>
      </c>
      <c r="L58" s="55"/>
      <c r="M58" s="55"/>
      <c r="N58" s="55"/>
    </row>
    <row r="59" spans="8:14" x14ac:dyDescent="0.2">
      <c r="H59" s="13"/>
      <c r="I59" s="13"/>
      <c r="J59" s="13"/>
      <c r="K59" s="60" t="str">
        <f t="array" ref="K59">IF(ROWS($C$2:$C59)&gt;COUNTA($C$2:$C$100),"",INDEX($C$2:$C$100,SMALL(IF($C$2:$C$100&lt;&gt;"",ROW($C$2:$C$100)-ROW($C$2)+1),ROWS($K$2:$K59))))</f>
        <v/>
      </c>
      <c r="L59" s="55"/>
      <c r="M59" s="55"/>
      <c r="N59" s="55"/>
    </row>
    <row r="60" spans="8:14" x14ac:dyDescent="0.2">
      <c r="H60" s="13"/>
      <c r="I60" s="13"/>
      <c r="J60" s="13"/>
      <c r="K60" s="60" t="str">
        <f t="array" ref="K60">IF(ROWS($C$2:$C60)&gt;COUNTA($C$2:$C$100),"",INDEX($C$2:$C$100,SMALL(IF($C$2:$C$100&lt;&gt;"",ROW($C$2:$C$100)-ROW($C$2)+1),ROWS($K$2:$K60))))</f>
        <v/>
      </c>
      <c r="L60" s="55"/>
      <c r="M60" s="55"/>
      <c r="N60" s="55"/>
    </row>
    <row r="61" spans="8:14" x14ac:dyDescent="0.2">
      <c r="H61" s="13"/>
      <c r="I61" s="13"/>
      <c r="J61" s="13"/>
      <c r="K61" s="60" t="str">
        <f t="array" ref="K61">IF(ROWS($C$2:$C61)&gt;COUNTA($C$2:$C$100),"",INDEX($C$2:$C$100,SMALL(IF($C$2:$C$100&lt;&gt;"",ROW($C$2:$C$100)-ROW($C$2)+1),ROWS($K$2:$K61))))</f>
        <v/>
      </c>
      <c r="L61" s="55"/>
      <c r="M61" s="55"/>
      <c r="N61" s="55"/>
    </row>
    <row r="62" spans="8:14" x14ac:dyDescent="0.2">
      <c r="H62" s="13"/>
      <c r="I62" s="13"/>
      <c r="J62" s="13"/>
      <c r="K62" s="60" t="str">
        <f t="array" ref="K62">IF(ROWS($C$2:$C62)&gt;COUNTA($C$2:$C$100),"",INDEX($C$2:$C$100,SMALL(IF($C$2:$C$100&lt;&gt;"",ROW($C$2:$C$100)-ROW($C$2)+1),ROWS($K$2:$K62))))</f>
        <v/>
      </c>
      <c r="L62" s="55"/>
      <c r="M62" s="55"/>
      <c r="N62" s="55"/>
    </row>
    <row r="63" spans="8:14" x14ac:dyDescent="0.2">
      <c r="H63" s="13"/>
      <c r="I63" s="13"/>
      <c r="J63" s="13"/>
      <c r="K63" s="60" t="str">
        <f t="array" ref="K63">IF(ROWS($C$2:$C63)&gt;COUNTA($C$2:$C$100),"",INDEX($C$2:$C$100,SMALL(IF($C$2:$C$100&lt;&gt;"",ROW($C$2:$C$100)-ROW($C$2)+1),ROWS($K$2:$K63))))</f>
        <v/>
      </c>
      <c r="L63" s="55"/>
      <c r="M63" s="55"/>
      <c r="N63" s="55"/>
    </row>
    <row r="64" spans="8:14" x14ac:dyDescent="0.2">
      <c r="H64" s="13"/>
      <c r="I64" s="13"/>
      <c r="J64" s="13"/>
      <c r="K64" s="60" t="str">
        <f t="array" ref="K64">IF(ROWS($C$2:$C64)&gt;COUNTA($C$2:$C$100),"",INDEX($C$2:$C$100,SMALL(IF($C$2:$C$100&lt;&gt;"",ROW($C$2:$C$100)-ROW($C$2)+1),ROWS($K$2:$K64))))</f>
        <v/>
      </c>
      <c r="L64" s="55"/>
      <c r="M64" s="55"/>
      <c r="N64" s="55"/>
    </row>
    <row r="65" spans="8:14" x14ac:dyDescent="0.2">
      <c r="H65" s="13"/>
      <c r="I65" s="13"/>
      <c r="J65" s="13"/>
      <c r="K65" s="60" t="str">
        <f t="array" ref="K65">IF(ROWS($C$2:$C65)&gt;COUNTA($C$2:$C$100),"",INDEX($C$2:$C$100,SMALL(IF($C$2:$C$100&lt;&gt;"",ROW($C$2:$C$100)-ROW($C$2)+1),ROWS($K$2:$K65))))</f>
        <v/>
      </c>
      <c r="L65" s="55"/>
      <c r="M65" s="55"/>
      <c r="N65" s="55"/>
    </row>
    <row r="66" spans="8:14" x14ac:dyDescent="0.2">
      <c r="H66" s="13"/>
      <c r="I66" s="13"/>
      <c r="J66" s="13"/>
      <c r="K66" s="60" t="str">
        <f t="array" ref="K66">IF(ROWS($C$2:$C66)&gt;COUNTA($C$2:$C$100),"",INDEX($C$2:$C$100,SMALL(IF($C$2:$C$100&lt;&gt;"",ROW($C$2:$C$100)-ROW($C$2)+1),ROWS($K$2:$K66))))</f>
        <v/>
      </c>
      <c r="L66" s="55"/>
      <c r="M66" s="55"/>
      <c r="N66" s="55"/>
    </row>
    <row r="67" spans="8:14" x14ac:dyDescent="0.2">
      <c r="H67" s="13"/>
      <c r="I67" s="13"/>
      <c r="J67" s="13"/>
      <c r="K67" s="60" t="str">
        <f t="array" ref="K67">IF(ROWS($C$2:$C67)&gt;COUNTA($C$2:$C$100),"",INDEX($C$2:$C$100,SMALL(IF($C$2:$C$100&lt;&gt;"",ROW($C$2:$C$100)-ROW($C$2)+1),ROWS($K$2:$K67))))</f>
        <v/>
      </c>
      <c r="L67" s="55"/>
      <c r="M67" s="55"/>
      <c r="N67" s="55"/>
    </row>
    <row r="68" spans="8:14" x14ac:dyDescent="0.2">
      <c r="H68" s="13"/>
      <c r="I68" s="13"/>
      <c r="J68" s="13"/>
      <c r="K68" s="60" t="str">
        <f t="array" ref="K68">IF(ROWS($C$2:$C68)&gt;COUNTA($C$2:$C$100),"",INDEX($C$2:$C$100,SMALL(IF($C$2:$C$100&lt;&gt;"",ROW($C$2:$C$100)-ROW($C$2)+1),ROWS($K$2:$K68))))</f>
        <v/>
      </c>
      <c r="L68" s="55"/>
      <c r="M68" s="55"/>
      <c r="N68" s="55"/>
    </row>
    <row r="69" spans="8:14" x14ac:dyDescent="0.2">
      <c r="H69" s="13"/>
      <c r="I69" s="13"/>
      <c r="J69" s="13"/>
      <c r="K69" s="60" t="str">
        <f t="array" ref="K69">IF(ROWS($C$2:$C69)&gt;COUNTA($C$2:$C$100),"",INDEX($C$2:$C$100,SMALL(IF($C$2:$C$100&lt;&gt;"",ROW($C$2:$C$100)-ROW($C$2)+1),ROWS($K$2:$K69))))</f>
        <v/>
      </c>
      <c r="L69" s="55"/>
      <c r="M69" s="55"/>
      <c r="N69" s="55"/>
    </row>
    <row r="70" spans="8:14" x14ac:dyDescent="0.2">
      <c r="H70" s="13"/>
      <c r="I70" s="13"/>
      <c r="J70" s="13"/>
      <c r="K70" s="60" t="str">
        <f t="array" ref="K70">IF(ROWS($C$2:$C70)&gt;COUNTA($C$2:$C$100),"",INDEX($C$2:$C$100,SMALL(IF($C$2:$C$100&lt;&gt;"",ROW($C$2:$C$100)-ROW($C$2)+1),ROWS($K$2:$K70))))</f>
        <v/>
      </c>
      <c r="L70" s="55"/>
      <c r="M70" s="55"/>
      <c r="N70" s="55"/>
    </row>
    <row r="71" spans="8:14" x14ac:dyDescent="0.2">
      <c r="H71" s="13"/>
      <c r="I71" s="13"/>
      <c r="J71" s="13"/>
      <c r="K71" s="60" t="str">
        <f t="array" ref="K71">IF(ROWS($C$2:$C71)&gt;COUNTA($C$2:$C$100),"",INDEX($C$2:$C$100,SMALL(IF($C$2:$C$100&lt;&gt;"",ROW($C$2:$C$100)-ROW($C$2)+1),ROWS($K$2:$K71))))</f>
        <v/>
      </c>
      <c r="L71" s="55"/>
      <c r="M71" s="55"/>
      <c r="N71" s="55"/>
    </row>
    <row r="72" spans="8:14" x14ac:dyDescent="0.2">
      <c r="H72" s="13"/>
      <c r="I72" s="13"/>
      <c r="J72" s="13"/>
      <c r="K72" s="60" t="str">
        <f t="array" ref="K72">IF(ROWS($C$2:$C72)&gt;COUNTA($C$2:$C$100),"",INDEX($C$2:$C$100,SMALL(IF($C$2:$C$100&lt;&gt;"",ROW($C$2:$C$100)-ROW($C$2)+1),ROWS($K$2:$K72))))</f>
        <v/>
      </c>
      <c r="L72" s="55"/>
      <c r="M72" s="55"/>
      <c r="N72" s="55"/>
    </row>
    <row r="73" spans="8:14" x14ac:dyDescent="0.2">
      <c r="H73" s="13"/>
      <c r="I73" s="13"/>
      <c r="J73" s="13"/>
      <c r="K73" s="60" t="str">
        <f t="array" ref="K73">IF(ROWS($C$2:$C73)&gt;COUNTA($C$2:$C$100),"",INDEX($C$2:$C$100,SMALL(IF($C$2:$C$100&lt;&gt;"",ROW($C$2:$C$100)-ROW($C$2)+1),ROWS($K$2:$K73))))</f>
        <v/>
      </c>
      <c r="L73" s="55"/>
      <c r="M73" s="55"/>
      <c r="N73" s="55"/>
    </row>
    <row r="74" spans="8:14" x14ac:dyDescent="0.2">
      <c r="H74" s="13"/>
      <c r="I74" s="13"/>
      <c r="J74" s="13"/>
      <c r="K74" s="60" t="str">
        <f t="array" ref="K74">IF(ROWS($C$2:$C74)&gt;COUNTA($C$2:$C$100),"",INDEX($C$2:$C$100,SMALL(IF($C$2:$C$100&lt;&gt;"",ROW($C$2:$C$100)-ROW($C$2)+1),ROWS($K$2:$K74))))</f>
        <v/>
      </c>
      <c r="L74" s="55"/>
      <c r="M74" s="55"/>
      <c r="N74" s="55"/>
    </row>
    <row r="75" spans="8:14" x14ac:dyDescent="0.2">
      <c r="H75" s="13"/>
      <c r="I75" s="13"/>
      <c r="J75" s="13"/>
      <c r="K75" s="60" t="str">
        <f t="array" ref="K75">IF(ROWS($C$2:$C75)&gt;COUNTA($C$2:$C$100),"",INDEX($C$2:$C$100,SMALL(IF($C$2:$C$100&lt;&gt;"",ROW($C$2:$C$100)-ROW($C$2)+1),ROWS($K$2:$K75))))</f>
        <v/>
      </c>
      <c r="L75" s="55"/>
      <c r="M75" s="55"/>
      <c r="N75" s="55"/>
    </row>
    <row r="76" spans="8:14" x14ac:dyDescent="0.2">
      <c r="H76" s="13"/>
      <c r="I76" s="13"/>
      <c r="J76" s="13"/>
      <c r="K76" s="60" t="str">
        <f t="array" ref="K76">IF(ROWS($C$2:$C76)&gt;COUNTA($C$2:$C$100),"",INDEX($C$2:$C$100,SMALL(IF($C$2:$C$100&lt;&gt;"",ROW($C$2:$C$100)-ROW($C$2)+1),ROWS($K$2:$K76))))</f>
        <v/>
      </c>
      <c r="L76" s="55"/>
      <c r="M76" s="55"/>
      <c r="N76" s="55"/>
    </row>
    <row r="77" spans="8:14" x14ac:dyDescent="0.2">
      <c r="H77" s="13"/>
      <c r="I77" s="13"/>
      <c r="J77" s="13"/>
      <c r="K77" s="60" t="str">
        <f t="array" ref="K77">IF(ROWS($C$2:$C77)&gt;COUNTA($C$2:$C$100),"",INDEX($C$2:$C$100,SMALL(IF($C$2:$C$100&lt;&gt;"",ROW($C$2:$C$100)-ROW($C$2)+1),ROWS($K$2:$K77))))</f>
        <v/>
      </c>
      <c r="L77" s="55"/>
      <c r="M77" s="55"/>
      <c r="N77" s="55"/>
    </row>
    <row r="78" spans="8:14" x14ac:dyDescent="0.2">
      <c r="H78" s="13"/>
      <c r="I78" s="13"/>
      <c r="J78" s="13"/>
      <c r="K78" s="60" t="str">
        <f t="array" ref="K78">IF(ROWS($C$2:$C78)&gt;COUNTA($C$2:$C$100),"",INDEX($C$2:$C$100,SMALL(IF($C$2:$C$100&lt;&gt;"",ROW($C$2:$C$100)-ROW($C$2)+1),ROWS($K$2:$K78))))</f>
        <v/>
      </c>
      <c r="L78" s="55"/>
      <c r="M78" s="55"/>
      <c r="N78" s="55"/>
    </row>
    <row r="79" spans="8:14" x14ac:dyDescent="0.2">
      <c r="H79" s="13"/>
      <c r="I79" s="13"/>
      <c r="J79" s="13"/>
      <c r="K79" s="60" t="str">
        <f t="array" ref="K79">IF(ROWS($C$2:$C79)&gt;COUNTA($C$2:$C$100),"",INDEX($C$2:$C$100,SMALL(IF($C$2:$C$100&lt;&gt;"",ROW($C$2:$C$100)-ROW($C$2)+1),ROWS($K$2:$K79))))</f>
        <v/>
      </c>
      <c r="L79" s="55"/>
      <c r="M79" s="55"/>
      <c r="N79" s="55"/>
    </row>
    <row r="80" spans="8:14" x14ac:dyDescent="0.2">
      <c r="H80" s="13"/>
      <c r="I80" s="13"/>
      <c r="J80" s="13"/>
      <c r="K80" s="60" t="str">
        <f t="array" ref="K80">IF(ROWS($C$2:$C80)&gt;COUNTA($C$2:$C$100),"",INDEX($C$2:$C$100,SMALL(IF($C$2:$C$100&lt;&gt;"",ROW($C$2:$C$100)-ROW($C$2)+1),ROWS($K$2:$K80))))</f>
        <v/>
      </c>
      <c r="L80" s="55"/>
      <c r="M80" s="55"/>
      <c r="N80" s="55"/>
    </row>
    <row r="81" spans="8:14" x14ac:dyDescent="0.2">
      <c r="H81" s="13"/>
      <c r="I81" s="13"/>
      <c r="J81" s="13"/>
      <c r="K81" s="60" t="str">
        <f t="array" ref="K81">IF(ROWS($C$2:$C81)&gt;COUNTA($C$2:$C$100),"",INDEX($C$2:$C$100,SMALL(IF($C$2:$C$100&lt;&gt;"",ROW($C$2:$C$100)-ROW($C$2)+1),ROWS($K$2:$K81))))</f>
        <v/>
      </c>
      <c r="L81" s="55"/>
      <c r="M81" s="55"/>
      <c r="N81" s="55"/>
    </row>
    <row r="82" spans="8:14" x14ac:dyDescent="0.2">
      <c r="H82" s="13"/>
      <c r="I82" s="13"/>
      <c r="J82" s="13"/>
      <c r="K82" s="60" t="str">
        <f t="array" ref="K82">IF(ROWS($C$2:$C82)&gt;COUNTA($C$2:$C$100),"",INDEX($C$2:$C$100,SMALL(IF($C$2:$C$100&lt;&gt;"",ROW($C$2:$C$100)-ROW($C$2)+1),ROWS($K$2:$K82))))</f>
        <v/>
      </c>
      <c r="L82" s="55"/>
      <c r="M82" s="55"/>
      <c r="N82" s="55"/>
    </row>
    <row r="83" spans="8:14" x14ac:dyDescent="0.2">
      <c r="H83" s="13"/>
      <c r="I83" s="13"/>
      <c r="J83" s="13"/>
      <c r="K83" s="60" t="str">
        <f t="array" ref="K83">IF(ROWS($C$2:$C83)&gt;COUNTA($C$2:$C$100),"",INDEX($C$2:$C$100,SMALL(IF($C$2:$C$100&lt;&gt;"",ROW($C$2:$C$100)-ROW($C$2)+1),ROWS($K$2:$K83))))</f>
        <v/>
      </c>
      <c r="L83" s="55"/>
      <c r="M83" s="55"/>
      <c r="N83" s="55"/>
    </row>
    <row r="84" spans="8:14" x14ac:dyDescent="0.2">
      <c r="H84" s="13"/>
      <c r="I84" s="13"/>
      <c r="J84" s="13"/>
      <c r="K84" s="60" t="str">
        <f t="array" ref="K84">IF(ROWS($C$2:$C84)&gt;COUNTA($C$2:$C$100),"",INDEX($C$2:$C$100,SMALL(IF($C$2:$C$100&lt;&gt;"",ROW($C$2:$C$100)-ROW($C$2)+1),ROWS($K$2:$K84))))</f>
        <v/>
      </c>
      <c r="L84" s="55"/>
      <c r="M84" s="55"/>
      <c r="N84" s="55"/>
    </row>
    <row r="85" spans="8:14" x14ac:dyDescent="0.2">
      <c r="H85" s="13"/>
      <c r="I85" s="13"/>
      <c r="J85" s="13"/>
      <c r="K85" s="60" t="str">
        <f t="array" ref="K85">IF(ROWS($C$2:$C85)&gt;COUNTA($C$2:$C$100),"",INDEX($C$2:$C$100,SMALL(IF($C$2:$C$100&lt;&gt;"",ROW($C$2:$C$100)-ROW($C$2)+1),ROWS($K$2:$K85))))</f>
        <v/>
      </c>
      <c r="L85" s="55"/>
      <c r="M85" s="55"/>
      <c r="N85" s="55"/>
    </row>
    <row r="86" spans="8:14" x14ac:dyDescent="0.2">
      <c r="H86" s="13"/>
      <c r="I86" s="13"/>
      <c r="J86" s="13"/>
      <c r="K86" s="60" t="str">
        <f t="array" ref="K86">IF(ROWS($C$2:$C86)&gt;COUNTA($C$2:$C$100),"",INDEX($C$2:$C$100,SMALL(IF($C$2:$C$100&lt;&gt;"",ROW($C$2:$C$100)-ROW($C$2)+1),ROWS($K$2:$K86))))</f>
        <v/>
      </c>
      <c r="L86" s="55"/>
      <c r="M86" s="55"/>
      <c r="N86" s="55"/>
    </row>
    <row r="87" spans="8:14" x14ac:dyDescent="0.2">
      <c r="H87" s="13"/>
      <c r="I87" s="13"/>
      <c r="J87" s="13"/>
      <c r="K87" s="60" t="str">
        <f t="array" ref="K87">IF(ROWS($C$2:$C87)&gt;COUNTA($C$2:$C$100),"",INDEX($C$2:$C$100,SMALL(IF($C$2:$C$100&lt;&gt;"",ROW($C$2:$C$100)-ROW($C$2)+1),ROWS($K$2:$K87))))</f>
        <v/>
      </c>
      <c r="L87" s="55"/>
      <c r="M87" s="55"/>
      <c r="N87" s="55"/>
    </row>
    <row r="88" spans="8:14" x14ac:dyDescent="0.2">
      <c r="H88" s="13"/>
      <c r="I88" s="13"/>
      <c r="J88" s="13"/>
      <c r="K88" s="60" t="str">
        <f t="array" ref="K88">IF(ROWS($C$2:$C88)&gt;COUNTA($C$2:$C$100),"",INDEX($C$2:$C$100,SMALL(IF($C$2:$C$100&lt;&gt;"",ROW($C$2:$C$100)-ROW($C$2)+1),ROWS($K$2:$K88))))</f>
        <v/>
      </c>
      <c r="L88" s="55"/>
      <c r="M88" s="55"/>
      <c r="N88" s="55"/>
    </row>
    <row r="89" spans="8:14" x14ac:dyDescent="0.2">
      <c r="H89" s="13"/>
      <c r="I89" s="13"/>
      <c r="J89" s="13"/>
      <c r="K89" s="60" t="str">
        <f t="array" ref="K89">IF(ROWS($C$2:$C89)&gt;COUNTA($C$2:$C$100),"",INDEX($C$2:$C$100,SMALL(IF($C$2:$C$100&lt;&gt;"",ROW($C$2:$C$100)-ROW($C$2)+1),ROWS($K$2:$K89))))</f>
        <v/>
      </c>
      <c r="L89" s="55"/>
      <c r="M89" s="55"/>
      <c r="N89" s="55"/>
    </row>
    <row r="90" spans="8:14" x14ac:dyDescent="0.2">
      <c r="H90" s="13"/>
      <c r="I90" s="13"/>
      <c r="J90" s="13"/>
      <c r="K90" s="60" t="str">
        <f t="array" ref="K90">IF(ROWS($C$2:$C90)&gt;COUNTA($C$2:$C$100),"",INDEX($C$2:$C$100,SMALL(IF($C$2:$C$100&lt;&gt;"",ROW($C$2:$C$100)-ROW($C$2)+1),ROWS($K$2:$K90))))</f>
        <v/>
      </c>
      <c r="L90" s="55"/>
      <c r="M90" s="55"/>
      <c r="N90" s="55"/>
    </row>
    <row r="91" spans="8:14" x14ac:dyDescent="0.2">
      <c r="H91" s="13"/>
      <c r="I91" s="13"/>
      <c r="J91" s="13"/>
      <c r="K91" s="60" t="str">
        <f t="array" ref="K91">IF(ROWS($C$2:$C91)&gt;COUNTA($C$2:$C$100),"",INDEX($C$2:$C$100,SMALL(IF($C$2:$C$100&lt;&gt;"",ROW($C$2:$C$100)-ROW($C$2)+1),ROWS($K$2:$K91))))</f>
        <v/>
      </c>
      <c r="L91" s="55"/>
      <c r="M91" s="55"/>
      <c r="N91" s="55"/>
    </row>
    <row r="92" spans="8:14" x14ac:dyDescent="0.2">
      <c r="H92" s="13"/>
      <c r="I92" s="13"/>
      <c r="J92" s="13"/>
      <c r="K92" s="60" t="str">
        <f t="array" ref="K92">IF(ROWS($C$2:$C92)&gt;COUNTA($C$2:$C$100),"",INDEX($C$2:$C$100,SMALL(IF($C$2:$C$100&lt;&gt;"",ROW($C$2:$C$100)-ROW($C$2)+1),ROWS($K$2:$K92))))</f>
        <v/>
      </c>
      <c r="L92" s="55"/>
      <c r="M92" s="55"/>
      <c r="N92" s="55"/>
    </row>
    <row r="93" spans="8:14" x14ac:dyDescent="0.2">
      <c r="H93" s="13"/>
      <c r="I93" s="13"/>
      <c r="J93" s="13"/>
      <c r="K93" s="60" t="str">
        <f t="array" ref="K93">IF(ROWS($C$2:$C93)&gt;COUNTA($C$2:$C$100),"",INDEX($C$2:$C$100,SMALL(IF($C$2:$C$100&lt;&gt;"",ROW($C$2:$C$100)-ROW($C$2)+1),ROWS($K$2:$K93))))</f>
        <v/>
      </c>
      <c r="L93" s="55"/>
      <c r="M93" s="55"/>
      <c r="N93" s="55"/>
    </row>
    <row r="94" spans="8:14" x14ac:dyDescent="0.2">
      <c r="H94" s="13"/>
      <c r="I94" s="13"/>
      <c r="J94" s="13"/>
      <c r="K94" s="60" t="str">
        <f t="array" ref="K94">IF(ROWS($C$2:$C94)&gt;COUNTA($C$2:$C$100),"",INDEX($C$2:$C$100,SMALL(IF($C$2:$C$100&lt;&gt;"",ROW($C$2:$C$100)-ROW($C$2)+1),ROWS($K$2:$K94))))</f>
        <v/>
      </c>
      <c r="L94" s="55"/>
      <c r="M94" s="55"/>
      <c r="N94" s="55"/>
    </row>
    <row r="95" spans="8:14" x14ac:dyDescent="0.2">
      <c r="H95" s="13"/>
      <c r="I95" s="13"/>
      <c r="J95" s="13"/>
      <c r="K95" s="60" t="str">
        <f t="array" ref="K95">IF(ROWS($C$2:$C95)&gt;COUNTA($C$2:$C$100),"",INDEX($C$2:$C$100,SMALL(IF($C$2:$C$100&lt;&gt;"",ROW($C$2:$C$100)-ROW($C$2)+1),ROWS($K$2:$K95))))</f>
        <v/>
      </c>
      <c r="L95" s="55"/>
      <c r="M95" s="55"/>
      <c r="N95" s="55"/>
    </row>
    <row r="96" spans="8:14" x14ac:dyDescent="0.2">
      <c r="H96" s="13"/>
      <c r="I96" s="13"/>
      <c r="J96" s="13"/>
      <c r="K96" s="60" t="str">
        <f t="array" ref="K96">IF(ROWS($C$2:$C96)&gt;COUNTA($C$2:$C$100),"",INDEX($C$2:$C$100,SMALL(IF($C$2:$C$100&lt;&gt;"",ROW($C$2:$C$100)-ROW($C$2)+1),ROWS($K$2:$K96))))</f>
        <v/>
      </c>
      <c r="L96" s="55"/>
      <c r="M96" s="55"/>
      <c r="N96" s="55"/>
    </row>
    <row r="97" spans="8:14" x14ac:dyDescent="0.2">
      <c r="H97" s="13"/>
      <c r="I97" s="13"/>
      <c r="J97" s="13"/>
      <c r="K97" s="60" t="str">
        <f t="array" ref="K97">IF(ROWS($C$2:$C97)&gt;COUNTA($C$2:$C$100),"",INDEX($C$2:$C$100,SMALL(IF($C$2:$C$100&lt;&gt;"",ROW($C$2:$C$100)-ROW($C$2)+1),ROWS($K$2:$K97))))</f>
        <v/>
      </c>
      <c r="L97" s="55"/>
      <c r="M97" s="55"/>
      <c r="N97" s="55"/>
    </row>
    <row r="98" spans="8:14" x14ac:dyDescent="0.2">
      <c r="H98" s="13"/>
      <c r="I98" s="13"/>
      <c r="J98" s="13"/>
      <c r="K98" s="60" t="str">
        <f t="array" ref="K98">IF(ROWS($C$2:$C98)&gt;COUNTA($C$2:$C$100),"",INDEX($C$2:$C$100,SMALL(IF($C$2:$C$100&lt;&gt;"",ROW($C$2:$C$100)-ROW($C$2)+1),ROWS($K$2:$K98))))</f>
        <v/>
      </c>
      <c r="L98" s="55"/>
      <c r="M98" s="55"/>
      <c r="N98" s="55"/>
    </row>
    <row r="99" spans="8:14" x14ac:dyDescent="0.2">
      <c r="H99" s="13"/>
      <c r="I99" s="13"/>
      <c r="J99" s="13"/>
      <c r="K99" s="60" t="str">
        <f t="array" ref="K99">IF(ROWS($C$2:$C99)&gt;COUNTA($C$2:$C$100),"",INDEX($C$2:$C$100,SMALL(IF($C$2:$C$100&lt;&gt;"",ROW($C$2:$C$100)-ROW($C$2)+1),ROWS($K$2:$K99))))</f>
        <v/>
      </c>
      <c r="L99" s="55"/>
      <c r="M99" s="55"/>
      <c r="N99" s="55"/>
    </row>
    <row r="100" spans="8:14" x14ac:dyDescent="0.2">
      <c r="H100" s="13"/>
      <c r="I100" s="13"/>
      <c r="J100" s="13"/>
      <c r="K100" s="60" t="str">
        <f t="array" ref="K100">IF(ROWS($C$2:$C100)&gt;COUNTA($C$2:$C$100),"",INDEX($C$2:$C$100,SMALL(IF($C$2:$C$100&lt;&gt;"",ROW($C$2:$C$100)-ROW($C$2)+1),ROWS($K$2:$K100))))</f>
        <v/>
      </c>
      <c r="L100" s="55"/>
      <c r="M100" s="55"/>
      <c r="N100" s="55"/>
    </row>
  </sheetData>
  <sheetProtection sheet="1" objects="1" scenarios="1" formatColumns="0" formatRows="0" insertRows="0" deleteRows="0"/>
  <dataConsolidate/>
  <conditionalFormatting sqref="A2:A100">
    <cfRule type="expression" dxfId="183" priority="11" stopIfTrue="1">
      <formula>AND(NOT(ISBLANK(A2)), COUNTIF(publiRefs,A2)=0)</formula>
    </cfRule>
    <cfRule type="expression" dxfId="182" priority="12" stopIfTrue="1">
      <formula>AND(ISBLANK(A2), COUNTA(A2:J2))</formula>
    </cfRule>
  </conditionalFormatting>
  <conditionalFormatting sqref="B2:B100">
    <cfRule type="expression" dxfId="181" priority="10" stopIfTrue="1">
      <formula>AND(ISBLANK(B2), COUNTA(A2:J2))</formula>
    </cfRule>
  </conditionalFormatting>
  <conditionalFormatting sqref="C2:C100">
    <cfRule type="expression" dxfId="180" priority="9" stopIfTrue="1">
      <formula>AND(ISBLANK(C2), COUNTA(C2:J2))</formula>
    </cfRule>
  </conditionalFormatting>
  <conditionalFormatting sqref="D2:D100">
    <cfRule type="expression" dxfId="179" priority="8" stopIfTrue="1">
      <formula>AND(ISBLANK(D2), COUNTA(A2:J2))</formula>
    </cfRule>
  </conditionalFormatting>
  <conditionalFormatting sqref="E2:E100">
    <cfRule type="expression" dxfId="178" priority="6" stopIfTrue="1">
      <formula>AND(NOT(ISBLANK(E2)), COUNTIF(yesNo,E2)=0)</formula>
    </cfRule>
    <cfRule type="expression" dxfId="177" priority="7" stopIfTrue="1">
      <formula>AND(ISBLANK(E2), COUNTA(A2:J2))</formula>
    </cfRule>
  </conditionalFormatting>
  <conditionalFormatting sqref="F2:F100">
    <cfRule type="expression" dxfId="176" priority="4" stopIfTrue="1">
      <formula>AND(E2&lt;&gt;INDEX(yesNo,1), NOT(ISBLANK(F2)))</formula>
    </cfRule>
    <cfRule type="expression" dxfId="175" priority="5" stopIfTrue="1">
      <formula>AND(E2&lt;&gt;INDEX(yesNo,1), COUNTA(A2:J2))</formula>
    </cfRule>
  </conditionalFormatting>
  <conditionalFormatting sqref="I2:I100">
    <cfRule type="expression" dxfId="174" priority="2" stopIfTrue="1">
      <formula>AND(NOT(ISBLANK(I2)), COUNTIF(countryList,I2)=0)</formula>
    </cfRule>
    <cfRule type="expression" dxfId="173" priority="3" stopIfTrue="1">
      <formula>AND(ISBLANK(I2), COUNTA(A2:J2))</formula>
    </cfRule>
  </conditionalFormatting>
  <conditionalFormatting sqref="J2:J100">
    <cfRule type="expression" dxfId="172" priority="1" stopIfTrue="1">
      <formula>AND(NOT(ISBLANK(J2)), COUNTIF(continentList,J2)=0)</formula>
    </cfRule>
  </conditionalFormatting>
  <dataValidations count="8">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errorStyle="warning" allowBlank="1" showInputMessage="1" promptTitle="Family" prompt="The family name's first letter must be capitalized" sqref="B2:B100"/>
    <dataValidation errorStyle="warning" allowBlank="1" showInputMessage="1" promptTitle="Species" prompt="Accepted name only !_x000a_Check if the species name is a valid binom on http://www.theplantlist.org_x000a__x000a_The species is composed from the genus, the specific epithet and the authors names. First letter capitalized for the 1st &amp; the 3rd, uncapitalized for the 2nd." sqref="C2:C100"/>
    <dataValidation errorStyle="warning" allowBlank="1" showInputMessage="1" promptTitle="Species name in publication" prompt="Sometimes the species name used in the publication is not an accepted name." sqref="D2:D100"/>
    <dataValidation type="list" errorStyle="warning" allowBlank="1" showInputMessage="1" showErrorMessage="1" errorTitle="Error:  Herbarium voucher" error="Only Yes or No are valids." promptTitle="Herbarium voucher" prompt="Select Yes or No by clicking on the dropdown arrow." sqref="E2:E100">
      <formula1>yesNo</formula1>
    </dataValidation>
    <dataValidation type="custom" errorStyle="warning" allowBlank="1" showInputMessage="1" showErrorMessage="1" errorTitle="Error: Herbarium" error="No value accepted when the Herbarium voucher is not 'Yes'." promptTitle="Herbarium" prompt="Only if Herbarium voucher is 'Yes'." sqref="F2:F100">
      <formula1>E2="Yes"</formula1>
    </dataValidation>
    <dataValidation type="list" errorStyle="warning" allowBlank="1" showInputMessage="1" showErrorMessage="1" errorTitle="Error: Country" error="Only the values in the list are valids." promptTitle="Country" prompt="Select a country by clicking on the dropdown arrow." sqref="I2:I100">
      <formula1>countryList</formula1>
    </dataValidation>
    <dataValidation type="list" errorStyle="warning" allowBlank="1" showInputMessage="1" showErrorMessage="1" errorTitle="Error: Continent" error="Only the values in the list are valids." promptTitle="Continent" prompt="Select a continent by clicking on the dropdown arrow." sqref="J2:J100">
      <formula1>continentList</formula1>
    </dataValidation>
  </dataValidation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Roman,Normal"&amp;A</oddHeader>
    <oddFooter>&amp;C&amp;"Times New Roman,Normal"Page &amp;P</oddFooter>
  </headerFooter>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100"/>
  <sheetViews>
    <sheetView zoomScale="115" zoomScaleNormal="115" workbookViewId="0">
      <selection activeCell="D3" sqref="D3"/>
    </sheetView>
  </sheetViews>
  <sheetFormatPr defaultRowHeight="12.75" x14ac:dyDescent="0.2"/>
  <cols>
    <col min="1" max="1" width="68.5703125" style="35" customWidth="1"/>
    <col min="2" max="2" width="38.5703125" style="35" customWidth="1"/>
    <col min="3" max="3" width="14.140625" style="35" customWidth="1"/>
    <col min="4" max="4" width="38.5703125" style="35" customWidth="1"/>
    <col min="5" max="5" width="14.140625" style="35" customWidth="1"/>
    <col min="6" max="6" width="38.5703125" style="35" customWidth="1"/>
    <col min="7" max="7" width="14.140625" style="35" customWidth="1"/>
    <col min="8" max="8" width="38.5703125" style="35" customWidth="1"/>
    <col min="9" max="9" width="14.140625" style="35" customWidth="1"/>
    <col min="10" max="10" width="38.5703125" style="35" customWidth="1"/>
    <col min="11" max="11" width="14.140625" style="35" customWidth="1"/>
    <col min="12" max="12" width="38.5703125" style="35" customWidth="1"/>
    <col min="13" max="13" width="14.140625" style="35" customWidth="1"/>
    <col min="14" max="14" width="38.5703125" style="35" customWidth="1"/>
    <col min="15" max="15" width="14.140625" style="35" customWidth="1"/>
    <col min="16" max="16" width="38.5703125" style="35" customWidth="1"/>
    <col min="17" max="17" width="14.140625" style="35" customWidth="1"/>
    <col min="18" max="18" width="38.5703125" style="35" customWidth="1"/>
    <col min="19" max="19" width="14.140625" style="35" customWidth="1"/>
    <col min="20" max="20" width="38.5703125" style="35" customWidth="1"/>
    <col min="21" max="21" width="14.140625" style="35" customWidth="1"/>
    <col min="22" max="22" width="86.5703125" style="61" hidden="1" customWidth="1"/>
    <col min="23" max="16384" width="9.140625" style="58"/>
  </cols>
  <sheetData>
    <row r="1" spans="1:22" s="26" customFormat="1" ht="36" customHeight="1" x14ac:dyDescent="0.2">
      <c r="A1" s="29" t="s">
        <v>620</v>
      </c>
      <c r="B1" s="29" t="s">
        <v>587</v>
      </c>
      <c r="C1" s="29" t="s">
        <v>588</v>
      </c>
      <c r="D1" s="41" t="s">
        <v>589</v>
      </c>
      <c r="E1" s="29" t="s">
        <v>601</v>
      </c>
      <c r="F1" s="29" t="s">
        <v>592</v>
      </c>
      <c r="G1" s="29" t="s">
        <v>602</v>
      </c>
      <c r="H1" s="29" t="s">
        <v>593</v>
      </c>
      <c r="I1" s="29" t="s">
        <v>603</v>
      </c>
      <c r="J1" s="29" t="s">
        <v>594</v>
      </c>
      <c r="K1" s="29" t="s">
        <v>604</v>
      </c>
      <c r="L1" s="29" t="s">
        <v>595</v>
      </c>
      <c r="M1" s="29" t="s">
        <v>605</v>
      </c>
      <c r="N1" s="29" t="s">
        <v>596</v>
      </c>
      <c r="O1" s="29" t="s">
        <v>606</v>
      </c>
      <c r="P1" s="29" t="s">
        <v>597</v>
      </c>
      <c r="Q1" s="29" t="s">
        <v>607</v>
      </c>
      <c r="R1" s="29" t="s">
        <v>600</v>
      </c>
      <c r="S1" s="29" t="s">
        <v>608</v>
      </c>
      <c r="T1" s="29" t="s">
        <v>598</v>
      </c>
      <c r="U1" s="29" t="s">
        <v>609</v>
      </c>
      <c r="V1" s="42" t="s">
        <v>599</v>
      </c>
    </row>
    <row r="2" spans="1:22" s="62" customFormat="1" ht="38.25" x14ac:dyDescent="0.2">
      <c r="A2" s="35" t="s">
        <v>719</v>
      </c>
      <c r="B2" s="35" t="s">
        <v>763</v>
      </c>
      <c r="C2" s="35" t="s">
        <v>660</v>
      </c>
      <c r="D2" s="35"/>
      <c r="E2" s="35"/>
      <c r="F2" s="35"/>
      <c r="G2" s="35"/>
      <c r="H2" s="35"/>
      <c r="I2" s="35"/>
      <c r="J2" s="35"/>
      <c r="K2" s="35"/>
      <c r="L2" s="35"/>
      <c r="M2" s="35"/>
      <c r="N2" s="35"/>
      <c r="O2" s="35"/>
      <c r="P2" s="35"/>
      <c r="Q2" s="35"/>
      <c r="R2" s="35"/>
      <c r="S2" s="35"/>
      <c r="T2" s="35"/>
      <c r="U2" s="35"/>
      <c r="V2" s="61" t="str">
        <f t="shared" ref="V2:V60" si="0">IF(OR(ISBLANK(B2),ISBLANK(C2)),"",B2&amp;", "&amp;C2&amp;IF(OR(ISBLANK(D2),ISBLANK(E2)),""," / "&amp;D2&amp;", "&amp;E2&amp;IF(OR(ISBLANK(F2),ISBLANK(G2)),""," / "&amp;F2&amp;", "&amp;G2&amp;IF(OR(ISBLANK(H2),ISBLANK(I2)),""," / "&amp;H2&amp;", "&amp;I2&amp;IF(OR(ISBLANK(J2),ISBLANK(K2)),""," / "&amp;J2&amp;", "&amp;K2&amp;IF(OR(ISBLANK(L2),ISBLANK(M2)),""," / "&amp;L2&amp;", "&amp;M2&amp;IF(OR(ISBLANK(N2),ISBLANK(O2)),""," / "&amp;N2&amp;", "&amp;O2&amp;IF(OR(ISBLANK(P2),ISBLANK(Q2)),""," / "&amp;P2&amp;", "&amp;Q2&amp;IF(OR(ISBLANK(R2),ISBLANK(S2)),""," / "&amp;R2&amp;", "&amp;S2 &amp; IF(OR(ISBLANK(T2), ISBLANK(U2)), "", " / " &amp; T2 &amp; ", " &amp; U2))))))))))</f>
        <v>Ampelozyziphus amazonicus Ducke, Root</v>
      </c>
    </row>
    <row r="3" spans="1:22" s="62" customFormat="1" ht="25.5" x14ac:dyDescent="0.2">
      <c r="A3" s="35" t="s">
        <v>734</v>
      </c>
      <c r="B3" s="35" t="s">
        <v>769</v>
      </c>
      <c r="C3" s="35" t="s">
        <v>660</v>
      </c>
      <c r="D3" s="35"/>
      <c r="E3" s="35"/>
      <c r="F3" s="35"/>
      <c r="G3" s="35"/>
      <c r="H3" s="35"/>
      <c r="I3" s="35"/>
      <c r="J3" s="35"/>
      <c r="K3" s="35"/>
      <c r="L3" s="35"/>
      <c r="M3" s="35"/>
      <c r="N3" s="35"/>
      <c r="O3" s="35"/>
      <c r="P3" s="35"/>
      <c r="Q3" s="35"/>
      <c r="R3" s="35"/>
      <c r="S3" s="35"/>
      <c r="T3" s="35"/>
      <c r="U3" s="35"/>
      <c r="V3" s="61" t="str">
        <f t="shared" si="0"/>
        <v>Anthocleista djalonensis A. Chev, Root</v>
      </c>
    </row>
    <row r="4" spans="1:22" s="62" customFormat="1" x14ac:dyDescent="0.2">
      <c r="A4" s="35"/>
      <c r="B4" s="35" t="s">
        <v>773</v>
      </c>
      <c r="C4" s="35" t="s">
        <v>655</v>
      </c>
      <c r="D4" s="35"/>
      <c r="E4" s="35"/>
      <c r="F4" s="35"/>
      <c r="G4" s="35"/>
      <c r="H4" s="35"/>
      <c r="I4" s="35"/>
      <c r="J4" s="35"/>
      <c r="K4" s="35"/>
      <c r="L4" s="35"/>
      <c r="M4" s="35"/>
      <c r="N4" s="35"/>
      <c r="O4" s="35"/>
      <c r="P4" s="35"/>
      <c r="Q4" s="35"/>
      <c r="R4" s="35"/>
      <c r="S4" s="35"/>
      <c r="T4" s="35"/>
      <c r="U4" s="35"/>
      <c r="V4" s="63" t="str">
        <f>IF(OR(ISBLANK(B4),ISBLANK(C4)),"",B4&amp;", "&amp;C4&amp;IF(OR(ISBLANK(D4),ISBLANK(E4)),""," / "&amp;D4&amp;", "&amp;E4&amp;IF(OR(ISBLANK(F4),ISBLANK(G4)),""," / "&amp;F4&amp;", "&amp;G4&amp;IF(OR(ISBLANK(H4),ISBLANK(I4)),""," / "&amp;H4&amp;", "&amp;I4&amp;IF(OR(ISBLANK(J4),ISBLANK(K4)),""," / "&amp;J4&amp;", "&amp;K4&amp;IF(OR(ISBLANK(L4),ISBLANK(M4)),""," / "&amp;L4&amp;", "&amp;M4&amp;IF(OR(ISBLANK(N4),ISBLANK(O4)),""," / "&amp;N4&amp;", "&amp;O4&amp;IF(OR(ISBLANK(P4),ISBLANK(Q4)),""," / "&amp;P4&amp;", "&amp;Q4&amp;IF(OR(ISBLANK(R4),ISBLANK(S4)),""," / "&amp;R4&amp;", "&amp;S4 &amp; IF(OR(ISBLANK(T4), ISBLANK(U4)), "", " / " &amp; T4 &amp; ", " &amp; U4))))))))))</f>
        <v>Maerua crassifolia Forssk, Leaf</v>
      </c>
    </row>
    <row r="5" spans="1:22" s="62" customFormat="1" x14ac:dyDescent="0.2">
      <c r="A5" s="35"/>
      <c r="B5" s="35" t="s">
        <v>778</v>
      </c>
      <c r="C5" s="35" t="s">
        <v>631</v>
      </c>
      <c r="D5" s="35"/>
      <c r="E5" s="35"/>
      <c r="F5" s="35"/>
      <c r="G5" s="35"/>
      <c r="H5" s="35"/>
      <c r="I5" s="35"/>
      <c r="J5" s="35"/>
      <c r="K5" s="35"/>
      <c r="L5" s="35"/>
      <c r="M5" s="35"/>
      <c r="N5" s="35"/>
      <c r="O5" s="35"/>
      <c r="P5" s="35"/>
      <c r="Q5" s="35"/>
      <c r="R5" s="35"/>
      <c r="S5" s="35"/>
      <c r="T5" s="35"/>
      <c r="U5" s="35"/>
      <c r="V5" s="61" t="str">
        <f t="shared" si="0"/>
        <v>Eleucina indica L. Gaertn, Other</v>
      </c>
    </row>
    <row r="6" spans="1:22" s="62" customFormat="1" x14ac:dyDescent="0.2">
      <c r="A6" s="35"/>
      <c r="B6" s="35"/>
      <c r="C6" s="35"/>
      <c r="D6" s="35"/>
      <c r="E6" s="35"/>
      <c r="F6" s="35"/>
      <c r="G6" s="35"/>
      <c r="H6" s="35"/>
      <c r="I6" s="35"/>
      <c r="J6" s="35"/>
      <c r="K6" s="35"/>
      <c r="L6" s="35"/>
      <c r="M6" s="35"/>
      <c r="N6" s="35"/>
      <c r="O6" s="35"/>
      <c r="P6" s="35"/>
      <c r="Q6" s="35"/>
      <c r="R6" s="35"/>
      <c r="S6" s="35"/>
      <c r="T6" s="35"/>
      <c r="U6" s="35"/>
      <c r="V6" s="61" t="str">
        <f t="shared" si="0"/>
        <v/>
      </c>
    </row>
    <row r="7" spans="1:22" s="62" customFormat="1" x14ac:dyDescent="0.2">
      <c r="A7" s="35"/>
      <c r="B7" s="35"/>
      <c r="C7" s="35"/>
      <c r="D7" s="35"/>
      <c r="E7" s="35"/>
      <c r="F7" s="35"/>
      <c r="G7" s="35"/>
      <c r="H7" s="35"/>
      <c r="I7" s="35"/>
      <c r="J7" s="35"/>
      <c r="K7" s="35"/>
      <c r="L7" s="35"/>
      <c r="M7" s="35"/>
      <c r="N7" s="35"/>
      <c r="O7" s="35"/>
      <c r="P7" s="35"/>
      <c r="Q7" s="35"/>
      <c r="R7" s="35"/>
      <c r="S7" s="35"/>
      <c r="T7" s="35"/>
      <c r="U7" s="35"/>
      <c r="V7" s="61" t="str">
        <f t="shared" si="0"/>
        <v/>
      </c>
    </row>
    <row r="8" spans="1:22" s="62" customFormat="1" x14ac:dyDescent="0.2">
      <c r="A8" s="35"/>
      <c r="B8" s="35"/>
      <c r="C8" s="35"/>
      <c r="D8" s="35"/>
      <c r="E8" s="35"/>
      <c r="F8" s="35"/>
      <c r="G8" s="35"/>
      <c r="H8" s="35"/>
      <c r="I8" s="35"/>
      <c r="J8" s="35"/>
      <c r="K8" s="35"/>
      <c r="L8" s="35"/>
      <c r="M8" s="35"/>
      <c r="N8" s="35"/>
      <c r="O8" s="35"/>
      <c r="P8" s="35"/>
      <c r="Q8" s="35"/>
      <c r="R8" s="35"/>
      <c r="S8" s="35"/>
      <c r="T8" s="35"/>
      <c r="U8" s="35"/>
      <c r="V8" s="61" t="str">
        <f t="shared" si="0"/>
        <v/>
      </c>
    </row>
    <row r="9" spans="1:22" s="62" customFormat="1" x14ac:dyDescent="0.2">
      <c r="A9" s="35"/>
      <c r="B9" s="35"/>
      <c r="C9" s="35"/>
      <c r="D9" s="35"/>
      <c r="E9" s="35"/>
      <c r="F9" s="35"/>
      <c r="G9" s="35"/>
      <c r="H9" s="35"/>
      <c r="I9" s="35"/>
      <c r="J9" s="35"/>
      <c r="K9" s="35"/>
      <c r="L9" s="35"/>
      <c r="M9" s="35"/>
      <c r="N9" s="35"/>
      <c r="O9" s="35"/>
      <c r="P9" s="35"/>
      <c r="Q9" s="35"/>
      <c r="R9" s="35"/>
      <c r="S9" s="35"/>
      <c r="T9" s="35"/>
      <c r="U9" s="35"/>
      <c r="V9" s="61" t="str">
        <f t="shared" si="0"/>
        <v/>
      </c>
    </row>
    <row r="10" spans="1:22" s="62" customFormat="1" x14ac:dyDescent="0.2">
      <c r="A10" s="35"/>
      <c r="B10" s="35"/>
      <c r="C10" s="35"/>
      <c r="D10" s="35"/>
      <c r="E10" s="35"/>
      <c r="F10" s="35"/>
      <c r="G10" s="35"/>
      <c r="H10" s="35"/>
      <c r="I10" s="35"/>
      <c r="J10" s="35"/>
      <c r="K10" s="35"/>
      <c r="L10" s="35"/>
      <c r="M10" s="35"/>
      <c r="N10" s="35"/>
      <c r="O10" s="35"/>
      <c r="P10" s="35"/>
      <c r="Q10" s="35"/>
      <c r="R10" s="35"/>
      <c r="S10" s="35"/>
      <c r="T10" s="35"/>
      <c r="U10" s="35"/>
      <c r="V10" s="61" t="str">
        <f t="shared" si="0"/>
        <v/>
      </c>
    </row>
    <row r="11" spans="1:22" s="62" customFormat="1" x14ac:dyDescent="0.2">
      <c r="A11" s="35"/>
      <c r="B11" s="35"/>
      <c r="C11" s="35"/>
      <c r="D11" s="35"/>
      <c r="E11" s="35"/>
      <c r="F11" s="35"/>
      <c r="G11" s="35"/>
      <c r="H11" s="35"/>
      <c r="I11" s="35"/>
      <c r="J11" s="35"/>
      <c r="K11" s="35"/>
      <c r="L11" s="35"/>
      <c r="M11" s="35"/>
      <c r="N11" s="35"/>
      <c r="O11" s="35"/>
      <c r="P11" s="35"/>
      <c r="Q11" s="35"/>
      <c r="R11" s="35"/>
      <c r="S11" s="35"/>
      <c r="T11" s="35"/>
      <c r="U11" s="35"/>
      <c r="V11" s="61" t="str">
        <f t="shared" si="0"/>
        <v/>
      </c>
    </row>
    <row r="12" spans="1:22" s="62" customFormat="1" x14ac:dyDescent="0.2">
      <c r="A12" s="35"/>
      <c r="B12" s="35"/>
      <c r="C12" s="35"/>
      <c r="D12" s="35"/>
      <c r="E12" s="35"/>
      <c r="F12" s="35"/>
      <c r="G12" s="35"/>
      <c r="H12" s="35"/>
      <c r="I12" s="35"/>
      <c r="J12" s="35"/>
      <c r="K12" s="35"/>
      <c r="L12" s="35"/>
      <c r="M12" s="35"/>
      <c r="N12" s="35"/>
      <c r="O12" s="35"/>
      <c r="P12" s="35"/>
      <c r="Q12" s="35"/>
      <c r="R12" s="35"/>
      <c r="S12" s="35"/>
      <c r="T12" s="35"/>
      <c r="U12" s="35"/>
      <c r="V12" s="61" t="str">
        <f t="shared" si="0"/>
        <v/>
      </c>
    </row>
    <row r="13" spans="1:22" s="62" customFormat="1" x14ac:dyDescent="0.2">
      <c r="A13" s="35"/>
      <c r="B13" s="35"/>
      <c r="C13" s="35"/>
      <c r="D13" s="35"/>
      <c r="E13" s="35"/>
      <c r="F13" s="35"/>
      <c r="G13" s="35"/>
      <c r="H13" s="35"/>
      <c r="I13" s="35"/>
      <c r="J13" s="35"/>
      <c r="K13" s="35"/>
      <c r="L13" s="35"/>
      <c r="M13" s="35"/>
      <c r="N13" s="35"/>
      <c r="O13" s="35"/>
      <c r="P13" s="35"/>
      <c r="Q13" s="35"/>
      <c r="R13" s="35"/>
      <c r="S13" s="35"/>
      <c r="T13" s="35"/>
      <c r="U13" s="35"/>
      <c r="V13" s="61" t="str">
        <f t="shared" si="0"/>
        <v/>
      </c>
    </row>
    <row r="14" spans="1:22" s="62" customFormat="1" x14ac:dyDescent="0.2">
      <c r="A14" s="35"/>
      <c r="B14" s="35"/>
      <c r="C14" s="35"/>
      <c r="D14" s="35"/>
      <c r="E14" s="35"/>
      <c r="F14" s="35"/>
      <c r="G14" s="35"/>
      <c r="H14" s="35"/>
      <c r="I14" s="35"/>
      <c r="J14" s="35"/>
      <c r="K14" s="35"/>
      <c r="L14" s="35"/>
      <c r="M14" s="35"/>
      <c r="N14" s="35"/>
      <c r="O14" s="35"/>
      <c r="P14" s="35"/>
      <c r="Q14" s="35"/>
      <c r="R14" s="35"/>
      <c r="S14" s="35"/>
      <c r="T14" s="35"/>
      <c r="U14" s="35"/>
      <c r="V14" s="61" t="str">
        <f t="shared" si="0"/>
        <v/>
      </c>
    </row>
    <row r="15" spans="1:22" s="62" customFormat="1" x14ac:dyDescent="0.2">
      <c r="A15" s="35"/>
      <c r="B15" s="35"/>
      <c r="C15" s="35"/>
      <c r="D15" s="35"/>
      <c r="E15" s="35"/>
      <c r="F15" s="35"/>
      <c r="G15" s="35"/>
      <c r="H15" s="35"/>
      <c r="I15" s="35"/>
      <c r="J15" s="35"/>
      <c r="K15" s="35"/>
      <c r="L15" s="35"/>
      <c r="M15" s="35"/>
      <c r="N15" s="35"/>
      <c r="O15" s="35"/>
      <c r="P15" s="35"/>
      <c r="Q15" s="35"/>
      <c r="R15" s="35"/>
      <c r="S15" s="35"/>
      <c r="T15" s="35"/>
      <c r="U15" s="35"/>
      <c r="V15" s="61" t="str">
        <f t="shared" si="0"/>
        <v/>
      </c>
    </row>
    <row r="16" spans="1:22" s="62" customFormat="1" x14ac:dyDescent="0.2">
      <c r="A16" s="35"/>
      <c r="B16" s="35"/>
      <c r="C16" s="35"/>
      <c r="D16" s="35"/>
      <c r="E16" s="35"/>
      <c r="F16" s="35"/>
      <c r="G16" s="35"/>
      <c r="H16" s="35"/>
      <c r="I16" s="35"/>
      <c r="J16" s="35"/>
      <c r="K16" s="35"/>
      <c r="L16" s="35"/>
      <c r="M16" s="35"/>
      <c r="N16" s="35"/>
      <c r="O16" s="35"/>
      <c r="P16" s="35"/>
      <c r="Q16" s="35"/>
      <c r="R16" s="35"/>
      <c r="S16" s="35"/>
      <c r="T16" s="35"/>
      <c r="U16" s="35"/>
      <c r="V16" s="61" t="str">
        <f t="shared" si="0"/>
        <v/>
      </c>
    </row>
    <row r="17" spans="1:22" s="62" customFormat="1" x14ac:dyDescent="0.2">
      <c r="A17" s="35"/>
      <c r="B17" s="35"/>
      <c r="C17" s="35"/>
      <c r="D17" s="35"/>
      <c r="E17" s="35"/>
      <c r="F17" s="35"/>
      <c r="G17" s="35"/>
      <c r="H17" s="35"/>
      <c r="I17" s="35"/>
      <c r="J17" s="35"/>
      <c r="K17" s="35"/>
      <c r="L17" s="35"/>
      <c r="M17" s="35"/>
      <c r="N17" s="35"/>
      <c r="O17" s="35"/>
      <c r="P17" s="35"/>
      <c r="Q17" s="35"/>
      <c r="R17" s="35"/>
      <c r="S17" s="35"/>
      <c r="T17" s="35"/>
      <c r="U17" s="35"/>
      <c r="V17" s="61" t="str">
        <f t="shared" si="0"/>
        <v/>
      </c>
    </row>
    <row r="18" spans="1:22" s="62" customFormat="1" x14ac:dyDescent="0.2">
      <c r="A18" s="35"/>
      <c r="B18" s="35"/>
      <c r="C18" s="35"/>
      <c r="D18" s="35"/>
      <c r="E18" s="35"/>
      <c r="F18" s="35"/>
      <c r="G18" s="35"/>
      <c r="H18" s="35"/>
      <c r="I18" s="35"/>
      <c r="J18" s="35"/>
      <c r="K18" s="35"/>
      <c r="L18" s="35"/>
      <c r="M18" s="35"/>
      <c r="N18" s="35"/>
      <c r="O18" s="35"/>
      <c r="P18" s="35"/>
      <c r="Q18" s="35"/>
      <c r="R18" s="35"/>
      <c r="S18" s="35"/>
      <c r="T18" s="35"/>
      <c r="U18" s="35"/>
      <c r="V18" s="61" t="str">
        <f t="shared" si="0"/>
        <v/>
      </c>
    </row>
    <row r="19" spans="1:22" s="62" customFormat="1" x14ac:dyDescent="0.2">
      <c r="A19" s="35"/>
      <c r="B19" s="35"/>
      <c r="C19" s="35"/>
      <c r="D19" s="35"/>
      <c r="E19" s="35"/>
      <c r="F19" s="35"/>
      <c r="G19" s="35"/>
      <c r="H19" s="35"/>
      <c r="I19" s="35"/>
      <c r="J19" s="35"/>
      <c r="K19" s="35"/>
      <c r="L19" s="35"/>
      <c r="M19" s="35"/>
      <c r="N19" s="35"/>
      <c r="O19" s="35"/>
      <c r="P19" s="35"/>
      <c r="Q19" s="35"/>
      <c r="R19" s="35"/>
      <c r="S19" s="35"/>
      <c r="T19" s="35"/>
      <c r="U19" s="35"/>
      <c r="V19" s="61" t="str">
        <f t="shared" si="0"/>
        <v/>
      </c>
    </row>
    <row r="20" spans="1:22" s="62" customFormat="1" x14ac:dyDescent="0.2">
      <c r="A20" s="35"/>
      <c r="B20" s="35"/>
      <c r="C20" s="35"/>
      <c r="D20" s="35"/>
      <c r="E20" s="35"/>
      <c r="F20" s="35"/>
      <c r="G20" s="35"/>
      <c r="H20" s="35"/>
      <c r="I20" s="35"/>
      <c r="J20" s="35"/>
      <c r="K20" s="35"/>
      <c r="L20" s="35"/>
      <c r="M20" s="35"/>
      <c r="N20" s="35"/>
      <c r="O20" s="35"/>
      <c r="P20" s="35"/>
      <c r="Q20" s="35"/>
      <c r="R20" s="35"/>
      <c r="S20" s="35"/>
      <c r="T20" s="35"/>
      <c r="U20" s="35"/>
      <c r="V20" s="61" t="str">
        <f t="shared" si="0"/>
        <v/>
      </c>
    </row>
    <row r="21" spans="1:22" s="62" customFormat="1" x14ac:dyDescent="0.2">
      <c r="A21" s="35"/>
      <c r="B21" s="35"/>
      <c r="C21" s="35"/>
      <c r="D21" s="35"/>
      <c r="E21" s="35"/>
      <c r="F21" s="35"/>
      <c r="G21" s="35"/>
      <c r="H21" s="35"/>
      <c r="I21" s="35"/>
      <c r="J21" s="35"/>
      <c r="K21" s="35"/>
      <c r="L21" s="35"/>
      <c r="M21" s="35"/>
      <c r="N21" s="35"/>
      <c r="O21" s="35"/>
      <c r="P21" s="35"/>
      <c r="Q21" s="35"/>
      <c r="R21" s="35"/>
      <c r="S21" s="35"/>
      <c r="T21" s="35"/>
      <c r="U21" s="35"/>
      <c r="V21" s="61" t="str">
        <f t="shared" si="0"/>
        <v/>
      </c>
    </row>
    <row r="22" spans="1:22" s="62" customFormat="1" x14ac:dyDescent="0.2">
      <c r="A22" s="35"/>
      <c r="B22" s="35"/>
      <c r="C22" s="35"/>
      <c r="D22" s="35"/>
      <c r="E22" s="35"/>
      <c r="F22" s="35"/>
      <c r="G22" s="35"/>
      <c r="H22" s="35"/>
      <c r="I22" s="35"/>
      <c r="J22" s="35"/>
      <c r="K22" s="35"/>
      <c r="L22" s="35"/>
      <c r="M22" s="35"/>
      <c r="N22" s="35"/>
      <c r="O22" s="35"/>
      <c r="P22" s="35"/>
      <c r="Q22" s="35"/>
      <c r="R22" s="35"/>
      <c r="S22" s="35"/>
      <c r="T22" s="35"/>
      <c r="U22" s="35"/>
      <c r="V22" s="61" t="str">
        <f t="shared" si="0"/>
        <v/>
      </c>
    </row>
    <row r="23" spans="1:22" s="62" customFormat="1" x14ac:dyDescent="0.2">
      <c r="A23" s="35"/>
      <c r="B23" s="35"/>
      <c r="C23" s="35"/>
      <c r="D23" s="35"/>
      <c r="E23" s="35"/>
      <c r="F23" s="35"/>
      <c r="G23" s="35"/>
      <c r="H23" s="35"/>
      <c r="I23" s="35"/>
      <c r="J23" s="35"/>
      <c r="K23" s="35"/>
      <c r="L23" s="35"/>
      <c r="M23" s="35"/>
      <c r="N23" s="35"/>
      <c r="O23" s="35"/>
      <c r="P23" s="35"/>
      <c r="Q23" s="35"/>
      <c r="R23" s="35"/>
      <c r="S23" s="35"/>
      <c r="T23" s="35"/>
      <c r="U23" s="35"/>
      <c r="V23" s="61" t="str">
        <f t="shared" si="0"/>
        <v/>
      </c>
    </row>
    <row r="24" spans="1:22" s="62" customFormat="1" x14ac:dyDescent="0.2">
      <c r="A24" s="35"/>
      <c r="B24" s="35"/>
      <c r="C24" s="35"/>
      <c r="D24" s="35"/>
      <c r="E24" s="35"/>
      <c r="F24" s="35"/>
      <c r="G24" s="35"/>
      <c r="H24" s="35"/>
      <c r="I24" s="35"/>
      <c r="J24" s="35"/>
      <c r="K24" s="35"/>
      <c r="L24" s="35"/>
      <c r="M24" s="35"/>
      <c r="N24" s="35"/>
      <c r="O24" s="35"/>
      <c r="P24" s="35"/>
      <c r="Q24" s="35"/>
      <c r="R24" s="35"/>
      <c r="S24" s="35"/>
      <c r="T24" s="35"/>
      <c r="U24" s="35"/>
      <c r="V24" s="61" t="str">
        <f t="shared" si="0"/>
        <v/>
      </c>
    </row>
    <row r="25" spans="1:22" s="62" customFormat="1" x14ac:dyDescent="0.2">
      <c r="A25" s="35"/>
      <c r="B25" s="35"/>
      <c r="C25" s="35"/>
      <c r="D25" s="35"/>
      <c r="E25" s="35"/>
      <c r="F25" s="35"/>
      <c r="G25" s="35"/>
      <c r="H25" s="35"/>
      <c r="I25" s="35"/>
      <c r="J25" s="35"/>
      <c r="K25" s="35"/>
      <c r="L25" s="35"/>
      <c r="M25" s="35"/>
      <c r="N25" s="35"/>
      <c r="O25" s="35"/>
      <c r="P25" s="35"/>
      <c r="Q25" s="35"/>
      <c r="R25" s="35"/>
      <c r="S25" s="35"/>
      <c r="T25" s="35"/>
      <c r="U25" s="35"/>
      <c r="V25" s="61" t="str">
        <f t="shared" si="0"/>
        <v/>
      </c>
    </row>
    <row r="26" spans="1:22" s="62" customFormat="1" x14ac:dyDescent="0.2">
      <c r="A26" s="35"/>
      <c r="B26" s="35"/>
      <c r="C26" s="35"/>
      <c r="D26" s="35"/>
      <c r="E26" s="35"/>
      <c r="F26" s="35"/>
      <c r="G26" s="35"/>
      <c r="H26" s="35"/>
      <c r="I26" s="35"/>
      <c r="J26" s="35"/>
      <c r="K26" s="35"/>
      <c r="L26" s="35"/>
      <c r="M26" s="35"/>
      <c r="N26" s="35"/>
      <c r="O26" s="35"/>
      <c r="P26" s="35"/>
      <c r="Q26" s="35"/>
      <c r="R26" s="35"/>
      <c r="S26" s="35"/>
      <c r="T26" s="35"/>
      <c r="U26" s="35"/>
      <c r="V26" s="61" t="str">
        <f t="shared" si="0"/>
        <v/>
      </c>
    </row>
    <row r="27" spans="1:22" s="62" customFormat="1" x14ac:dyDescent="0.2">
      <c r="A27" s="35"/>
      <c r="B27" s="35"/>
      <c r="C27" s="35"/>
      <c r="D27" s="35"/>
      <c r="E27" s="35"/>
      <c r="F27" s="35"/>
      <c r="G27" s="35"/>
      <c r="H27" s="35"/>
      <c r="I27" s="35"/>
      <c r="J27" s="35"/>
      <c r="K27" s="35"/>
      <c r="L27" s="35"/>
      <c r="M27" s="35"/>
      <c r="N27" s="35"/>
      <c r="O27" s="35"/>
      <c r="P27" s="35"/>
      <c r="Q27" s="35"/>
      <c r="R27" s="35"/>
      <c r="S27" s="35"/>
      <c r="T27" s="35"/>
      <c r="U27" s="35"/>
      <c r="V27" s="61" t="str">
        <f t="shared" si="0"/>
        <v/>
      </c>
    </row>
    <row r="28" spans="1:22" s="62" customFormat="1" x14ac:dyDescent="0.2">
      <c r="A28" s="35"/>
      <c r="B28" s="35"/>
      <c r="C28" s="35"/>
      <c r="D28" s="35"/>
      <c r="E28" s="35"/>
      <c r="F28" s="35"/>
      <c r="G28" s="35"/>
      <c r="H28" s="35"/>
      <c r="I28" s="35"/>
      <c r="J28" s="35"/>
      <c r="K28" s="35"/>
      <c r="L28" s="35"/>
      <c r="M28" s="35"/>
      <c r="N28" s="35"/>
      <c r="O28" s="35"/>
      <c r="P28" s="35"/>
      <c r="Q28" s="35"/>
      <c r="R28" s="35"/>
      <c r="S28" s="35"/>
      <c r="T28" s="35"/>
      <c r="U28" s="35"/>
      <c r="V28" s="61" t="str">
        <f t="shared" si="0"/>
        <v/>
      </c>
    </row>
    <row r="29" spans="1:22" s="62" customFormat="1" x14ac:dyDescent="0.2">
      <c r="A29" s="35"/>
      <c r="B29" s="35"/>
      <c r="C29" s="35"/>
      <c r="D29" s="35"/>
      <c r="E29" s="35"/>
      <c r="F29" s="35"/>
      <c r="G29" s="35"/>
      <c r="H29" s="35"/>
      <c r="I29" s="35"/>
      <c r="J29" s="35"/>
      <c r="K29" s="35"/>
      <c r="L29" s="35"/>
      <c r="M29" s="35"/>
      <c r="N29" s="35"/>
      <c r="O29" s="35"/>
      <c r="P29" s="35"/>
      <c r="Q29" s="35"/>
      <c r="R29" s="35"/>
      <c r="S29" s="35"/>
      <c r="T29" s="35"/>
      <c r="U29" s="35"/>
      <c r="V29" s="61" t="str">
        <f t="shared" si="0"/>
        <v/>
      </c>
    </row>
    <row r="30" spans="1:22" s="62" customFormat="1" x14ac:dyDescent="0.2">
      <c r="A30" s="35"/>
      <c r="B30" s="35"/>
      <c r="C30" s="35"/>
      <c r="D30" s="35"/>
      <c r="E30" s="35"/>
      <c r="F30" s="35"/>
      <c r="G30" s="35"/>
      <c r="H30" s="35"/>
      <c r="I30" s="35"/>
      <c r="J30" s="35"/>
      <c r="K30" s="35"/>
      <c r="L30" s="35"/>
      <c r="M30" s="35"/>
      <c r="N30" s="35"/>
      <c r="O30" s="35"/>
      <c r="P30" s="35"/>
      <c r="Q30" s="35"/>
      <c r="R30" s="35"/>
      <c r="S30" s="35"/>
      <c r="T30" s="35"/>
      <c r="U30" s="35"/>
      <c r="V30" s="61" t="str">
        <f t="shared" si="0"/>
        <v/>
      </c>
    </row>
    <row r="31" spans="1:22" s="62" customFormat="1" x14ac:dyDescent="0.2">
      <c r="A31" s="35"/>
      <c r="B31" s="35"/>
      <c r="C31" s="35"/>
      <c r="D31" s="35"/>
      <c r="E31" s="35"/>
      <c r="F31" s="35"/>
      <c r="G31" s="35"/>
      <c r="H31" s="35"/>
      <c r="I31" s="35"/>
      <c r="J31" s="35"/>
      <c r="K31" s="35"/>
      <c r="L31" s="35"/>
      <c r="M31" s="35"/>
      <c r="N31" s="35"/>
      <c r="O31" s="35"/>
      <c r="P31" s="35"/>
      <c r="Q31" s="35"/>
      <c r="R31" s="35"/>
      <c r="S31" s="35"/>
      <c r="T31" s="35"/>
      <c r="U31" s="35"/>
      <c r="V31" s="61" t="str">
        <f t="shared" si="0"/>
        <v/>
      </c>
    </row>
    <row r="32" spans="1:22" s="62" customFormat="1" x14ac:dyDescent="0.2">
      <c r="A32" s="35"/>
      <c r="B32" s="35"/>
      <c r="C32" s="35"/>
      <c r="D32" s="35"/>
      <c r="E32" s="35"/>
      <c r="F32" s="35"/>
      <c r="G32" s="35"/>
      <c r="H32" s="35"/>
      <c r="I32" s="35"/>
      <c r="J32" s="35"/>
      <c r="K32" s="35"/>
      <c r="L32" s="35"/>
      <c r="M32" s="35"/>
      <c r="N32" s="35"/>
      <c r="O32" s="35"/>
      <c r="P32" s="35"/>
      <c r="Q32" s="35"/>
      <c r="R32" s="35"/>
      <c r="S32" s="35"/>
      <c r="T32" s="35"/>
      <c r="U32" s="35"/>
      <c r="V32" s="61" t="str">
        <f t="shared" si="0"/>
        <v/>
      </c>
    </row>
    <row r="33" spans="1:22" s="62" customFormat="1" x14ac:dyDescent="0.2">
      <c r="A33" s="35"/>
      <c r="B33" s="35"/>
      <c r="C33" s="35"/>
      <c r="D33" s="35"/>
      <c r="E33" s="35"/>
      <c r="F33" s="35"/>
      <c r="G33" s="35"/>
      <c r="H33" s="35"/>
      <c r="I33" s="35"/>
      <c r="J33" s="35"/>
      <c r="K33" s="35"/>
      <c r="L33" s="35"/>
      <c r="M33" s="35"/>
      <c r="N33" s="35"/>
      <c r="O33" s="35"/>
      <c r="P33" s="35"/>
      <c r="Q33" s="35"/>
      <c r="R33" s="35"/>
      <c r="S33" s="35"/>
      <c r="T33" s="35"/>
      <c r="U33" s="35"/>
      <c r="V33" s="61" t="str">
        <f t="shared" si="0"/>
        <v/>
      </c>
    </row>
    <row r="34" spans="1:22" s="62" customFormat="1" x14ac:dyDescent="0.2">
      <c r="A34" s="35"/>
      <c r="B34" s="35"/>
      <c r="C34" s="35"/>
      <c r="D34" s="35"/>
      <c r="E34" s="35"/>
      <c r="F34" s="35"/>
      <c r="G34" s="35"/>
      <c r="H34" s="35"/>
      <c r="I34" s="35"/>
      <c r="J34" s="35"/>
      <c r="K34" s="35"/>
      <c r="L34" s="35"/>
      <c r="M34" s="35"/>
      <c r="N34" s="35"/>
      <c r="O34" s="35"/>
      <c r="P34" s="35"/>
      <c r="Q34" s="35"/>
      <c r="R34" s="35"/>
      <c r="S34" s="35"/>
      <c r="T34" s="35"/>
      <c r="U34" s="35"/>
      <c r="V34" s="61" t="str">
        <f t="shared" si="0"/>
        <v/>
      </c>
    </row>
    <row r="35" spans="1:22" s="62" customFormat="1" x14ac:dyDescent="0.2">
      <c r="A35" s="35"/>
      <c r="B35" s="35"/>
      <c r="C35" s="35"/>
      <c r="D35" s="35"/>
      <c r="E35" s="35"/>
      <c r="F35" s="35"/>
      <c r="G35" s="35"/>
      <c r="H35" s="35"/>
      <c r="I35" s="35"/>
      <c r="J35" s="35"/>
      <c r="K35" s="35"/>
      <c r="L35" s="35"/>
      <c r="M35" s="35"/>
      <c r="N35" s="35"/>
      <c r="O35" s="35"/>
      <c r="P35" s="35"/>
      <c r="Q35" s="35"/>
      <c r="R35" s="35"/>
      <c r="S35" s="35"/>
      <c r="T35" s="35"/>
      <c r="U35" s="35"/>
      <c r="V35" s="61" t="str">
        <f t="shared" si="0"/>
        <v/>
      </c>
    </row>
    <row r="36" spans="1:22" s="62" customFormat="1" x14ac:dyDescent="0.2">
      <c r="A36" s="35"/>
      <c r="B36" s="35"/>
      <c r="C36" s="35"/>
      <c r="D36" s="35"/>
      <c r="E36" s="35"/>
      <c r="F36" s="35"/>
      <c r="G36" s="35"/>
      <c r="H36" s="35"/>
      <c r="I36" s="35"/>
      <c r="J36" s="35"/>
      <c r="K36" s="35"/>
      <c r="L36" s="35"/>
      <c r="M36" s="35"/>
      <c r="N36" s="35"/>
      <c r="O36" s="35"/>
      <c r="P36" s="35"/>
      <c r="Q36" s="35"/>
      <c r="R36" s="35"/>
      <c r="S36" s="35"/>
      <c r="T36" s="35"/>
      <c r="U36" s="35"/>
      <c r="V36" s="61" t="str">
        <f t="shared" si="0"/>
        <v/>
      </c>
    </row>
    <row r="37" spans="1:22" s="62" customFormat="1" x14ac:dyDescent="0.2">
      <c r="A37" s="35"/>
      <c r="B37" s="35"/>
      <c r="C37" s="35"/>
      <c r="D37" s="35"/>
      <c r="E37" s="35"/>
      <c r="F37" s="35"/>
      <c r="G37" s="35"/>
      <c r="H37" s="35"/>
      <c r="I37" s="35"/>
      <c r="J37" s="35"/>
      <c r="K37" s="35"/>
      <c r="L37" s="35"/>
      <c r="M37" s="35"/>
      <c r="N37" s="35"/>
      <c r="O37" s="35"/>
      <c r="P37" s="35"/>
      <c r="Q37" s="35"/>
      <c r="R37" s="35"/>
      <c r="S37" s="35"/>
      <c r="T37" s="35"/>
      <c r="U37" s="35"/>
      <c r="V37" s="61" t="str">
        <f t="shared" si="0"/>
        <v/>
      </c>
    </row>
    <row r="38" spans="1:22" s="62" customFormat="1" x14ac:dyDescent="0.2">
      <c r="A38" s="35"/>
      <c r="B38" s="35"/>
      <c r="C38" s="35"/>
      <c r="D38" s="35"/>
      <c r="E38" s="35"/>
      <c r="F38" s="35"/>
      <c r="G38" s="35"/>
      <c r="H38" s="35"/>
      <c r="I38" s="35"/>
      <c r="J38" s="35"/>
      <c r="K38" s="35"/>
      <c r="L38" s="35"/>
      <c r="M38" s="35"/>
      <c r="N38" s="35"/>
      <c r="O38" s="35"/>
      <c r="P38" s="35"/>
      <c r="Q38" s="35"/>
      <c r="R38" s="35"/>
      <c r="S38" s="35"/>
      <c r="T38" s="35"/>
      <c r="U38" s="35"/>
      <c r="V38" s="61" t="str">
        <f t="shared" si="0"/>
        <v/>
      </c>
    </row>
    <row r="39" spans="1:22" s="62" customFormat="1" x14ac:dyDescent="0.2">
      <c r="A39" s="35"/>
      <c r="B39" s="35"/>
      <c r="C39" s="35"/>
      <c r="D39" s="35"/>
      <c r="E39" s="35"/>
      <c r="F39" s="35"/>
      <c r="G39" s="35"/>
      <c r="H39" s="35"/>
      <c r="I39" s="35"/>
      <c r="J39" s="35"/>
      <c r="K39" s="35"/>
      <c r="L39" s="35"/>
      <c r="M39" s="35"/>
      <c r="N39" s="35"/>
      <c r="O39" s="35"/>
      <c r="P39" s="35"/>
      <c r="Q39" s="35"/>
      <c r="R39" s="35"/>
      <c r="S39" s="35"/>
      <c r="T39" s="35"/>
      <c r="U39" s="35"/>
      <c r="V39" s="61" t="str">
        <f t="shared" si="0"/>
        <v/>
      </c>
    </row>
    <row r="40" spans="1:22" s="62" customFormat="1" x14ac:dyDescent="0.2">
      <c r="A40" s="35"/>
      <c r="B40" s="35"/>
      <c r="C40" s="35"/>
      <c r="D40" s="35"/>
      <c r="E40" s="35"/>
      <c r="F40" s="35"/>
      <c r="G40" s="35"/>
      <c r="H40" s="35"/>
      <c r="I40" s="35"/>
      <c r="J40" s="35"/>
      <c r="K40" s="35"/>
      <c r="L40" s="35"/>
      <c r="M40" s="35"/>
      <c r="N40" s="35"/>
      <c r="O40" s="35"/>
      <c r="P40" s="35"/>
      <c r="Q40" s="35"/>
      <c r="R40" s="35"/>
      <c r="S40" s="35"/>
      <c r="T40" s="35"/>
      <c r="U40" s="35"/>
      <c r="V40" s="61" t="str">
        <f t="shared" si="0"/>
        <v/>
      </c>
    </row>
    <row r="41" spans="1:22" s="62" customFormat="1" x14ac:dyDescent="0.2">
      <c r="A41" s="35"/>
      <c r="B41" s="35"/>
      <c r="C41" s="35"/>
      <c r="D41" s="35"/>
      <c r="E41" s="35"/>
      <c r="F41" s="35"/>
      <c r="G41" s="35"/>
      <c r="H41" s="35"/>
      <c r="I41" s="35"/>
      <c r="J41" s="35"/>
      <c r="K41" s="35"/>
      <c r="L41" s="35"/>
      <c r="M41" s="35"/>
      <c r="N41" s="35"/>
      <c r="O41" s="35"/>
      <c r="P41" s="35"/>
      <c r="Q41" s="35"/>
      <c r="R41" s="35"/>
      <c r="S41" s="35"/>
      <c r="T41" s="35"/>
      <c r="U41" s="35"/>
      <c r="V41" s="61" t="str">
        <f t="shared" si="0"/>
        <v/>
      </c>
    </row>
    <row r="42" spans="1:22" s="62" customFormat="1" x14ac:dyDescent="0.2">
      <c r="A42" s="35"/>
      <c r="B42" s="35"/>
      <c r="C42" s="35"/>
      <c r="D42" s="35"/>
      <c r="E42" s="35"/>
      <c r="F42" s="35"/>
      <c r="G42" s="35"/>
      <c r="H42" s="35"/>
      <c r="I42" s="35"/>
      <c r="J42" s="35"/>
      <c r="K42" s="35"/>
      <c r="L42" s="35"/>
      <c r="M42" s="35"/>
      <c r="N42" s="35"/>
      <c r="O42" s="35"/>
      <c r="P42" s="35"/>
      <c r="Q42" s="35"/>
      <c r="R42" s="35"/>
      <c r="S42" s="35"/>
      <c r="T42" s="35"/>
      <c r="U42" s="35"/>
      <c r="V42" s="61" t="str">
        <f t="shared" si="0"/>
        <v/>
      </c>
    </row>
    <row r="43" spans="1:22" s="62" customFormat="1" x14ac:dyDescent="0.2">
      <c r="A43" s="35"/>
      <c r="B43" s="35"/>
      <c r="C43" s="35"/>
      <c r="D43" s="35"/>
      <c r="E43" s="35"/>
      <c r="F43" s="35"/>
      <c r="G43" s="35"/>
      <c r="H43" s="35"/>
      <c r="I43" s="35"/>
      <c r="J43" s="35"/>
      <c r="K43" s="35"/>
      <c r="L43" s="35"/>
      <c r="M43" s="35"/>
      <c r="N43" s="35"/>
      <c r="O43" s="35"/>
      <c r="P43" s="35"/>
      <c r="Q43" s="35"/>
      <c r="R43" s="35"/>
      <c r="S43" s="35"/>
      <c r="T43" s="35"/>
      <c r="U43" s="35"/>
      <c r="V43" s="61" t="str">
        <f t="shared" si="0"/>
        <v/>
      </c>
    </row>
    <row r="44" spans="1:22" s="62" customFormat="1" x14ac:dyDescent="0.2">
      <c r="A44" s="35"/>
      <c r="B44" s="35"/>
      <c r="C44" s="35"/>
      <c r="D44" s="35"/>
      <c r="E44" s="35"/>
      <c r="F44" s="35"/>
      <c r="G44" s="35"/>
      <c r="H44" s="35"/>
      <c r="I44" s="35"/>
      <c r="J44" s="35"/>
      <c r="K44" s="35"/>
      <c r="L44" s="35"/>
      <c r="M44" s="35"/>
      <c r="N44" s="35"/>
      <c r="O44" s="35"/>
      <c r="P44" s="35"/>
      <c r="Q44" s="35"/>
      <c r="R44" s="35"/>
      <c r="S44" s="35"/>
      <c r="T44" s="35"/>
      <c r="U44" s="35"/>
      <c r="V44" s="61" t="str">
        <f t="shared" si="0"/>
        <v/>
      </c>
    </row>
    <row r="45" spans="1:22" s="62" customFormat="1" x14ac:dyDescent="0.2">
      <c r="A45" s="35"/>
      <c r="B45" s="35"/>
      <c r="C45" s="35"/>
      <c r="D45" s="35"/>
      <c r="E45" s="35"/>
      <c r="F45" s="35"/>
      <c r="G45" s="35"/>
      <c r="H45" s="35"/>
      <c r="I45" s="35"/>
      <c r="J45" s="35"/>
      <c r="K45" s="35"/>
      <c r="L45" s="35"/>
      <c r="M45" s="35"/>
      <c r="N45" s="35"/>
      <c r="O45" s="35"/>
      <c r="P45" s="35"/>
      <c r="Q45" s="35"/>
      <c r="R45" s="35"/>
      <c r="S45" s="35"/>
      <c r="T45" s="35"/>
      <c r="U45" s="35"/>
      <c r="V45" s="61" t="str">
        <f t="shared" si="0"/>
        <v/>
      </c>
    </row>
    <row r="46" spans="1:22" s="62" customFormat="1" x14ac:dyDescent="0.2">
      <c r="A46" s="35"/>
      <c r="B46" s="35"/>
      <c r="C46" s="35"/>
      <c r="D46" s="35"/>
      <c r="E46" s="35"/>
      <c r="F46" s="35"/>
      <c r="G46" s="35"/>
      <c r="H46" s="35"/>
      <c r="I46" s="35"/>
      <c r="J46" s="35"/>
      <c r="K46" s="35"/>
      <c r="L46" s="35"/>
      <c r="M46" s="35"/>
      <c r="N46" s="35"/>
      <c r="O46" s="35"/>
      <c r="P46" s="35"/>
      <c r="Q46" s="35"/>
      <c r="R46" s="35"/>
      <c r="S46" s="35"/>
      <c r="T46" s="35"/>
      <c r="U46" s="35"/>
      <c r="V46" s="61" t="str">
        <f t="shared" si="0"/>
        <v/>
      </c>
    </row>
    <row r="47" spans="1:22" s="62" customFormat="1" x14ac:dyDescent="0.2">
      <c r="A47" s="35"/>
      <c r="B47" s="35"/>
      <c r="C47" s="35"/>
      <c r="D47" s="35"/>
      <c r="E47" s="35"/>
      <c r="F47" s="35"/>
      <c r="G47" s="35"/>
      <c r="H47" s="35"/>
      <c r="I47" s="35"/>
      <c r="J47" s="35"/>
      <c r="K47" s="35"/>
      <c r="L47" s="35"/>
      <c r="M47" s="35"/>
      <c r="N47" s="35"/>
      <c r="O47" s="35"/>
      <c r="P47" s="35"/>
      <c r="Q47" s="35"/>
      <c r="R47" s="35"/>
      <c r="S47" s="35"/>
      <c r="T47" s="35"/>
      <c r="U47" s="35"/>
      <c r="V47" s="61" t="str">
        <f t="shared" si="0"/>
        <v/>
      </c>
    </row>
    <row r="48" spans="1:22" s="62" customFormat="1" x14ac:dyDescent="0.2">
      <c r="A48" s="35"/>
      <c r="B48" s="35"/>
      <c r="C48" s="35"/>
      <c r="D48" s="35"/>
      <c r="E48" s="35"/>
      <c r="F48" s="35"/>
      <c r="G48" s="35"/>
      <c r="H48" s="35"/>
      <c r="I48" s="35"/>
      <c r="J48" s="35"/>
      <c r="K48" s="35"/>
      <c r="L48" s="35"/>
      <c r="M48" s="35"/>
      <c r="N48" s="35"/>
      <c r="O48" s="35"/>
      <c r="P48" s="35"/>
      <c r="Q48" s="35"/>
      <c r="R48" s="35"/>
      <c r="S48" s="35"/>
      <c r="T48" s="35"/>
      <c r="U48" s="35"/>
      <c r="V48" s="61" t="str">
        <f t="shared" si="0"/>
        <v/>
      </c>
    </row>
    <row r="49" spans="1:22" s="62" customFormat="1" x14ac:dyDescent="0.2">
      <c r="A49" s="35"/>
      <c r="B49" s="35"/>
      <c r="C49" s="35"/>
      <c r="D49" s="35"/>
      <c r="E49" s="35"/>
      <c r="F49" s="35"/>
      <c r="G49" s="35"/>
      <c r="H49" s="35"/>
      <c r="I49" s="35"/>
      <c r="J49" s="35"/>
      <c r="K49" s="35"/>
      <c r="L49" s="35"/>
      <c r="M49" s="35"/>
      <c r="N49" s="35"/>
      <c r="O49" s="35"/>
      <c r="P49" s="35"/>
      <c r="Q49" s="35"/>
      <c r="R49" s="35"/>
      <c r="S49" s="35"/>
      <c r="T49" s="35"/>
      <c r="U49" s="35"/>
      <c r="V49" s="61" t="str">
        <f t="shared" si="0"/>
        <v/>
      </c>
    </row>
    <row r="50" spans="1:22" s="62" customFormat="1" x14ac:dyDescent="0.2">
      <c r="A50" s="35"/>
      <c r="B50" s="35"/>
      <c r="C50" s="35"/>
      <c r="D50" s="35"/>
      <c r="E50" s="35"/>
      <c r="F50" s="35"/>
      <c r="G50" s="35"/>
      <c r="H50" s="35"/>
      <c r="I50" s="35"/>
      <c r="J50" s="35"/>
      <c r="K50" s="35"/>
      <c r="L50" s="35"/>
      <c r="M50" s="35"/>
      <c r="N50" s="35"/>
      <c r="O50" s="35"/>
      <c r="P50" s="35"/>
      <c r="Q50" s="35"/>
      <c r="R50" s="35"/>
      <c r="S50" s="35"/>
      <c r="T50" s="35"/>
      <c r="U50" s="35"/>
      <c r="V50" s="61" t="str">
        <f t="shared" si="0"/>
        <v/>
      </c>
    </row>
    <row r="51" spans="1:22" s="62" customFormat="1" x14ac:dyDescent="0.2">
      <c r="A51" s="35"/>
      <c r="B51" s="35"/>
      <c r="C51" s="35"/>
      <c r="D51" s="35"/>
      <c r="E51" s="35"/>
      <c r="F51" s="35"/>
      <c r="G51" s="35"/>
      <c r="H51" s="35"/>
      <c r="I51" s="35"/>
      <c r="J51" s="35"/>
      <c r="K51" s="35"/>
      <c r="L51" s="35"/>
      <c r="M51" s="35"/>
      <c r="N51" s="35"/>
      <c r="O51" s="35"/>
      <c r="P51" s="35"/>
      <c r="Q51" s="35"/>
      <c r="R51" s="35"/>
      <c r="S51" s="35"/>
      <c r="T51" s="35"/>
      <c r="U51" s="35"/>
      <c r="V51" s="61" t="str">
        <f t="shared" si="0"/>
        <v/>
      </c>
    </row>
    <row r="52" spans="1:22" s="62" customFormat="1" x14ac:dyDescent="0.2">
      <c r="A52" s="35"/>
      <c r="B52" s="35"/>
      <c r="C52" s="35"/>
      <c r="D52" s="35"/>
      <c r="E52" s="35"/>
      <c r="F52" s="35"/>
      <c r="G52" s="35"/>
      <c r="H52" s="35"/>
      <c r="I52" s="35"/>
      <c r="J52" s="35"/>
      <c r="K52" s="35"/>
      <c r="L52" s="35"/>
      <c r="M52" s="35"/>
      <c r="N52" s="35"/>
      <c r="O52" s="35"/>
      <c r="P52" s="35"/>
      <c r="Q52" s="35"/>
      <c r="R52" s="35"/>
      <c r="S52" s="35"/>
      <c r="T52" s="35"/>
      <c r="U52" s="35"/>
      <c r="V52" s="61" t="str">
        <f t="shared" si="0"/>
        <v/>
      </c>
    </row>
    <row r="53" spans="1:22" s="62" customFormat="1" x14ac:dyDescent="0.2">
      <c r="A53" s="35"/>
      <c r="B53" s="35"/>
      <c r="C53" s="35"/>
      <c r="D53" s="35"/>
      <c r="E53" s="35"/>
      <c r="F53" s="35"/>
      <c r="G53" s="35"/>
      <c r="H53" s="35"/>
      <c r="I53" s="35"/>
      <c r="J53" s="35"/>
      <c r="K53" s="35"/>
      <c r="L53" s="35"/>
      <c r="M53" s="35"/>
      <c r="N53" s="35"/>
      <c r="O53" s="35"/>
      <c r="P53" s="35"/>
      <c r="Q53" s="35"/>
      <c r="R53" s="35"/>
      <c r="S53" s="35"/>
      <c r="T53" s="35"/>
      <c r="U53" s="35"/>
      <c r="V53" s="61" t="str">
        <f t="shared" si="0"/>
        <v/>
      </c>
    </row>
    <row r="54" spans="1:22" s="62" customFormat="1" x14ac:dyDescent="0.2">
      <c r="A54" s="35"/>
      <c r="B54" s="35"/>
      <c r="C54" s="35"/>
      <c r="D54" s="35"/>
      <c r="E54" s="35"/>
      <c r="F54" s="35"/>
      <c r="G54" s="35"/>
      <c r="H54" s="35"/>
      <c r="I54" s="35"/>
      <c r="J54" s="35"/>
      <c r="K54" s="35"/>
      <c r="L54" s="35"/>
      <c r="M54" s="35"/>
      <c r="N54" s="35"/>
      <c r="O54" s="35"/>
      <c r="P54" s="35"/>
      <c r="Q54" s="35"/>
      <c r="R54" s="35"/>
      <c r="S54" s="35"/>
      <c r="T54" s="35"/>
      <c r="U54" s="35"/>
      <c r="V54" s="61" t="str">
        <f t="shared" si="0"/>
        <v/>
      </c>
    </row>
    <row r="55" spans="1:22" s="62" customFormat="1" x14ac:dyDescent="0.2">
      <c r="A55" s="35"/>
      <c r="B55" s="35"/>
      <c r="C55" s="35"/>
      <c r="D55" s="35"/>
      <c r="E55" s="35"/>
      <c r="F55" s="35"/>
      <c r="G55" s="35"/>
      <c r="H55" s="35"/>
      <c r="I55" s="35"/>
      <c r="J55" s="35"/>
      <c r="K55" s="35"/>
      <c r="L55" s="35"/>
      <c r="M55" s="35"/>
      <c r="N55" s="35"/>
      <c r="O55" s="35"/>
      <c r="P55" s="35"/>
      <c r="Q55" s="35"/>
      <c r="R55" s="35"/>
      <c r="S55" s="35"/>
      <c r="T55" s="35"/>
      <c r="U55" s="35"/>
      <c r="V55" s="61" t="str">
        <f t="shared" si="0"/>
        <v/>
      </c>
    </row>
    <row r="56" spans="1:22" s="62" customFormat="1" x14ac:dyDescent="0.2">
      <c r="A56" s="35"/>
      <c r="B56" s="35"/>
      <c r="C56" s="35"/>
      <c r="D56" s="35"/>
      <c r="E56" s="35"/>
      <c r="F56" s="35"/>
      <c r="G56" s="35"/>
      <c r="H56" s="35"/>
      <c r="I56" s="35"/>
      <c r="J56" s="35"/>
      <c r="K56" s="35"/>
      <c r="L56" s="35"/>
      <c r="M56" s="35"/>
      <c r="N56" s="35"/>
      <c r="O56" s="35"/>
      <c r="P56" s="35"/>
      <c r="Q56" s="35"/>
      <c r="R56" s="35"/>
      <c r="S56" s="35"/>
      <c r="T56" s="35"/>
      <c r="U56" s="35"/>
      <c r="V56" s="61" t="str">
        <f t="shared" si="0"/>
        <v/>
      </c>
    </row>
    <row r="57" spans="1:22" s="62" customFormat="1" x14ac:dyDescent="0.2">
      <c r="A57" s="35"/>
      <c r="B57" s="35"/>
      <c r="C57" s="35"/>
      <c r="D57" s="35"/>
      <c r="E57" s="35"/>
      <c r="F57" s="35"/>
      <c r="G57" s="35"/>
      <c r="H57" s="35"/>
      <c r="I57" s="35"/>
      <c r="J57" s="35"/>
      <c r="K57" s="35"/>
      <c r="L57" s="35"/>
      <c r="M57" s="35"/>
      <c r="N57" s="35"/>
      <c r="O57" s="35"/>
      <c r="P57" s="35"/>
      <c r="Q57" s="35"/>
      <c r="R57" s="35"/>
      <c r="S57" s="35"/>
      <c r="T57" s="35"/>
      <c r="U57" s="35"/>
      <c r="V57" s="61" t="str">
        <f t="shared" si="0"/>
        <v/>
      </c>
    </row>
    <row r="58" spans="1:22" s="62" customFormat="1" x14ac:dyDescent="0.2">
      <c r="A58" s="35"/>
      <c r="B58" s="35"/>
      <c r="C58" s="35"/>
      <c r="D58" s="35"/>
      <c r="E58" s="35"/>
      <c r="F58" s="35"/>
      <c r="G58" s="35"/>
      <c r="H58" s="35"/>
      <c r="I58" s="35"/>
      <c r="J58" s="35"/>
      <c r="K58" s="35"/>
      <c r="L58" s="35"/>
      <c r="M58" s="35"/>
      <c r="N58" s="35"/>
      <c r="O58" s="35"/>
      <c r="P58" s="35"/>
      <c r="Q58" s="35"/>
      <c r="R58" s="35"/>
      <c r="S58" s="35"/>
      <c r="T58" s="35"/>
      <c r="U58" s="35"/>
      <c r="V58" s="61" t="str">
        <f t="shared" si="0"/>
        <v/>
      </c>
    </row>
    <row r="59" spans="1:22" s="62" customFormat="1" x14ac:dyDescent="0.2">
      <c r="A59" s="35"/>
      <c r="B59" s="35"/>
      <c r="C59" s="35"/>
      <c r="D59" s="35"/>
      <c r="E59" s="35"/>
      <c r="F59" s="35"/>
      <c r="G59" s="35"/>
      <c r="H59" s="35"/>
      <c r="I59" s="35"/>
      <c r="J59" s="35"/>
      <c r="K59" s="35"/>
      <c r="L59" s="35"/>
      <c r="M59" s="35"/>
      <c r="N59" s="35"/>
      <c r="O59" s="35"/>
      <c r="P59" s="35"/>
      <c r="Q59" s="35"/>
      <c r="R59" s="35"/>
      <c r="S59" s="35"/>
      <c r="T59" s="35"/>
      <c r="U59" s="35"/>
      <c r="V59" s="61" t="str">
        <f t="shared" si="0"/>
        <v/>
      </c>
    </row>
    <row r="60" spans="1:22" s="62" customFormat="1" x14ac:dyDescent="0.2">
      <c r="A60" s="35"/>
      <c r="B60" s="35"/>
      <c r="C60" s="35"/>
      <c r="D60" s="35"/>
      <c r="E60" s="35"/>
      <c r="F60" s="35"/>
      <c r="G60" s="35"/>
      <c r="H60" s="35"/>
      <c r="I60" s="35"/>
      <c r="J60" s="35"/>
      <c r="K60" s="35"/>
      <c r="L60" s="35"/>
      <c r="M60" s="35"/>
      <c r="N60" s="35"/>
      <c r="O60" s="35"/>
      <c r="P60" s="35"/>
      <c r="Q60" s="35"/>
      <c r="R60" s="35"/>
      <c r="S60" s="35"/>
      <c r="T60" s="35"/>
      <c r="U60" s="35"/>
      <c r="V60" s="61" t="str">
        <f t="shared" si="0"/>
        <v/>
      </c>
    </row>
    <row r="61" spans="1:22" s="62" customFormat="1" x14ac:dyDescent="0.2">
      <c r="A61" s="35"/>
      <c r="B61" s="35"/>
      <c r="C61" s="35"/>
      <c r="D61" s="35"/>
      <c r="E61" s="35"/>
      <c r="F61" s="35"/>
      <c r="G61" s="35"/>
      <c r="H61" s="35"/>
      <c r="I61" s="35"/>
      <c r="J61" s="35"/>
      <c r="K61" s="35"/>
      <c r="L61" s="35"/>
      <c r="M61" s="35"/>
      <c r="N61" s="35"/>
      <c r="O61" s="35"/>
      <c r="P61" s="35"/>
      <c r="Q61" s="35"/>
      <c r="R61" s="35"/>
      <c r="S61" s="35"/>
      <c r="T61" s="35"/>
      <c r="U61" s="35"/>
      <c r="V61" s="61" t="str">
        <f t="shared" ref="V61:V100" si="1">IF(OR(ISBLANK(B61),ISBLANK(C61)),"",B61&amp;", "&amp;C61&amp;IF(OR(ISBLANK(D61),ISBLANK(E61)),""," / "&amp;D61&amp;", "&amp;E61&amp;IF(OR(ISBLANK(F61),ISBLANK(G61)),""," / "&amp;F61&amp;", "&amp;G61&amp;IF(OR(ISBLANK(H61),ISBLANK(I61)),""," / "&amp;H61&amp;", "&amp;I61&amp;IF(OR(ISBLANK(J61),ISBLANK(K61)),""," / "&amp;J61&amp;", "&amp;K61&amp;IF(OR(ISBLANK(L61),ISBLANK(M61)),""," / "&amp;L61&amp;", "&amp;M61&amp;IF(OR(ISBLANK(N61),ISBLANK(O61)),""," / "&amp;N61&amp;", "&amp;O61&amp;IF(OR(ISBLANK(P61),ISBLANK(Q61)),""," / "&amp;P61&amp;", "&amp;Q61&amp;IF(OR(ISBLANK(R61),ISBLANK(S61)),""," / "&amp;R61&amp;", "&amp;S61 &amp; IF(OR(ISBLANK(T61), ISBLANK(U61)), "", " / " &amp; T61 &amp; ", " &amp; U61))))))))))</f>
        <v/>
      </c>
    </row>
    <row r="62" spans="1:22" s="62" customFormat="1" x14ac:dyDescent="0.2">
      <c r="A62" s="35"/>
      <c r="B62" s="35"/>
      <c r="C62" s="35"/>
      <c r="D62" s="35"/>
      <c r="E62" s="35"/>
      <c r="F62" s="35"/>
      <c r="G62" s="35"/>
      <c r="H62" s="35"/>
      <c r="I62" s="35"/>
      <c r="J62" s="35"/>
      <c r="K62" s="35"/>
      <c r="L62" s="35"/>
      <c r="M62" s="35"/>
      <c r="N62" s="35"/>
      <c r="O62" s="35"/>
      <c r="P62" s="35"/>
      <c r="Q62" s="35"/>
      <c r="R62" s="35"/>
      <c r="S62" s="35"/>
      <c r="T62" s="35"/>
      <c r="U62" s="35"/>
      <c r="V62" s="61" t="str">
        <f t="shared" si="1"/>
        <v/>
      </c>
    </row>
    <row r="63" spans="1:22" s="62" customFormat="1" x14ac:dyDescent="0.2">
      <c r="A63" s="35"/>
      <c r="B63" s="35"/>
      <c r="C63" s="35"/>
      <c r="D63" s="35"/>
      <c r="E63" s="35"/>
      <c r="F63" s="35"/>
      <c r="G63" s="35"/>
      <c r="H63" s="35"/>
      <c r="I63" s="35"/>
      <c r="J63" s="35"/>
      <c r="K63" s="35"/>
      <c r="L63" s="35"/>
      <c r="M63" s="35"/>
      <c r="N63" s="35"/>
      <c r="O63" s="35"/>
      <c r="P63" s="35"/>
      <c r="Q63" s="35"/>
      <c r="R63" s="35"/>
      <c r="S63" s="35"/>
      <c r="T63" s="35"/>
      <c r="U63" s="35"/>
      <c r="V63" s="61" t="str">
        <f t="shared" si="1"/>
        <v/>
      </c>
    </row>
    <row r="64" spans="1:22" s="62" customFormat="1" x14ac:dyDescent="0.2">
      <c r="A64" s="35"/>
      <c r="B64" s="35"/>
      <c r="C64" s="35"/>
      <c r="D64" s="35"/>
      <c r="E64" s="35"/>
      <c r="F64" s="35"/>
      <c r="G64" s="35"/>
      <c r="H64" s="35"/>
      <c r="I64" s="35"/>
      <c r="J64" s="35"/>
      <c r="K64" s="35"/>
      <c r="L64" s="35"/>
      <c r="M64" s="35"/>
      <c r="N64" s="35"/>
      <c r="O64" s="35"/>
      <c r="P64" s="35"/>
      <c r="Q64" s="35"/>
      <c r="R64" s="35"/>
      <c r="S64" s="35"/>
      <c r="T64" s="35"/>
      <c r="U64" s="35"/>
      <c r="V64" s="61" t="str">
        <f t="shared" si="1"/>
        <v/>
      </c>
    </row>
    <row r="65" spans="1:22" s="62" customFormat="1" x14ac:dyDescent="0.2">
      <c r="A65" s="35"/>
      <c r="B65" s="35"/>
      <c r="C65" s="35"/>
      <c r="D65" s="35"/>
      <c r="E65" s="35"/>
      <c r="F65" s="35"/>
      <c r="G65" s="35"/>
      <c r="H65" s="35"/>
      <c r="I65" s="35"/>
      <c r="J65" s="35"/>
      <c r="K65" s="35"/>
      <c r="L65" s="35"/>
      <c r="M65" s="35"/>
      <c r="N65" s="35"/>
      <c r="O65" s="35"/>
      <c r="P65" s="35"/>
      <c r="Q65" s="35"/>
      <c r="R65" s="35"/>
      <c r="S65" s="35"/>
      <c r="T65" s="35"/>
      <c r="U65" s="35"/>
      <c r="V65" s="61" t="str">
        <f t="shared" si="1"/>
        <v/>
      </c>
    </row>
    <row r="66" spans="1:22" s="62" customFormat="1" x14ac:dyDescent="0.2">
      <c r="A66" s="35"/>
      <c r="B66" s="35"/>
      <c r="C66" s="35"/>
      <c r="D66" s="35"/>
      <c r="E66" s="35"/>
      <c r="F66" s="35"/>
      <c r="G66" s="35"/>
      <c r="H66" s="35"/>
      <c r="I66" s="35"/>
      <c r="J66" s="35"/>
      <c r="K66" s="35"/>
      <c r="L66" s="35"/>
      <c r="M66" s="35"/>
      <c r="N66" s="35"/>
      <c r="O66" s="35"/>
      <c r="P66" s="35"/>
      <c r="Q66" s="35"/>
      <c r="R66" s="35"/>
      <c r="S66" s="35"/>
      <c r="T66" s="35"/>
      <c r="U66" s="35"/>
      <c r="V66" s="61" t="str">
        <f t="shared" si="1"/>
        <v/>
      </c>
    </row>
    <row r="67" spans="1:22" s="62" customFormat="1" x14ac:dyDescent="0.2">
      <c r="A67" s="35"/>
      <c r="B67" s="35"/>
      <c r="C67" s="35"/>
      <c r="D67" s="35"/>
      <c r="E67" s="35"/>
      <c r="F67" s="35"/>
      <c r="G67" s="35"/>
      <c r="H67" s="35"/>
      <c r="I67" s="35"/>
      <c r="J67" s="35"/>
      <c r="K67" s="35"/>
      <c r="L67" s="35"/>
      <c r="M67" s="35"/>
      <c r="N67" s="35"/>
      <c r="O67" s="35"/>
      <c r="P67" s="35"/>
      <c r="Q67" s="35"/>
      <c r="R67" s="35"/>
      <c r="S67" s="35"/>
      <c r="T67" s="35"/>
      <c r="U67" s="35"/>
      <c r="V67" s="61" t="str">
        <f t="shared" si="1"/>
        <v/>
      </c>
    </row>
    <row r="68" spans="1:22" s="62" customFormat="1" x14ac:dyDescent="0.2">
      <c r="A68" s="35"/>
      <c r="B68" s="35"/>
      <c r="C68" s="35"/>
      <c r="D68" s="35"/>
      <c r="E68" s="35"/>
      <c r="F68" s="35"/>
      <c r="G68" s="35"/>
      <c r="H68" s="35"/>
      <c r="I68" s="35"/>
      <c r="J68" s="35"/>
      <c r="K68" s="35"/>
      <c r="L68" s="35"/>
      <c r="M68" s="35"/>
      <c r="N68" s="35"/>
      <c r="O68" s="35"/>
      <c r="P68" s="35"/>
      <c r="Q68" s="35"/>
      <c r="R68" s="35"/>
      <c r="S68" s="35"/>
      <c r="T68" s="35"/>
      <c r="U68" s="35"/>
      <c r="V68" s="61" t="str">
        <f t="shared" si="1"/>
        <v/>
      </c>
    </row>
    <row r="69" spans="1:22" s="62" customFormat="1" x14ac:dyDescent="0.2">
      <c r="A69" s="35"/>
      <c r="B69" s="35"/>
      <c r="C69" s="35"/>
      <c r="D69" s="35"/>
      <c r="E69" s="35"/>
      <c r="F69" s="35"/>
      <c r="G69" s="35"/>
      <c r="H69" s="35"/>
      <c r="I69" s="35"/>
      <c r="J69" s="35"/>
      <c r="K69" s="35"/>
      <c r="L69" s="35"/>
      <c r="M69" s="35"/>
      <c r="N69" s="35"/>
      <c r="O69" s="35"/>
      <c r="P69" s="35"/>
      <c r="Q69" s="35"/>
      <c r="R69" s="35"/>
      <c r="S69" s="35"/>
      <c r="T69" s="35"/>
      <c r="U69" s="35"/>
      <c r="V69" s="61" t="str">
        <f t="shared" si="1"/>
        <v/>
      </c>
    </row>
    <row r="70" spans="1:22" s="62" customFormat="1" x14ac:dyDescent="0.2">
      <c r="A70" s="35"/>
      <c r="B70" s="35"/>
      <c r="C70" s="35"/>
      <c r="D70" s="35"/>
      <c r="E70" s="35"/>
      <c r="F70" s="35"/>
      <c r="G70" s="35"/>
      <c r="H70" s="35"/>
      <c r="I70" s="35"/>
      <c r="J70" s="35"/>
      <c r="K70" s="35"/>
      <c r="L70" s="35"/>
      <c r="M70" s="35"/>
      <c r="N70" s="35"/>
      <c r="O70" s="35"/>
      <c r="P70" s="35"/>
      <c r="Q70" s="35"/>
      <c r="R70" s="35"/>
      <c r="S70" s="35"/>
      <c r="T70" s="35"/>
      <c r="U70" s="35"/>
      <c r="V70" s="61" t="str">
        <f t="shared" si="1"/>
        <v/>
      </c>
    </row>
    <row r="71" spans="1:22" s="62" customFormat="1" x14ac:dyDescent="0.2">
      <c r="A71" s="35"/>
      <c r="B71" s="35"/>
      <c r="C71" s="35"/>
      <c r="D71" s="35"/>
      <c r="E71" s="35"/>
      <c r="F71" s="35"/>
      <c r="G71" s="35"/>
      <c r="H71" s="35"/>
      <c r="I71" s="35"/>
      <c r="J71" s="35"/>
      <c r="K71" s="35"/>
      <c r="L71" s="35"/>
      <c r="M71" s="35"/>
      <c r="N71" s="35"/>
      <c r="O71" s="35"/>
      <c r="P71" s="35"/>
      <c r="Q71" s="35"/>
      <c r="R71" s="35"/>
      <c r="S71" s="35"/>
      <c r="T71" s="35"/>
      <c r="U71" s="35"/>
      <c r="V71" s="61" t="str">
        <f t="shared" si="1"/>
        <v/>
      </c>
    </row>
    <row r="72" spans="1:22" s="62" customFormat="1" x14ac:dyDescent="0.2">
      <c r="A72" s="35"/>
      <c r="B72" s="35"/>
      <c r="C72" s="35"/>
      <c r="D72" s="35"/>
      <c r="E72" s="35"/>
      <c r="F72" s="35"/>
      <c r="G72" s="35"/>
      <c r="H72" s="35"/>
      <c r="I72" s="35"/>
      <c r="J72" s="35"/>
      <c r="K72" s="35"/>
      <c r="L72" s="35"/>
      <c r="M72" s="35"/>
      <c r="N72" s="35"/>
      <c r="O72" s="35"/>
      <c r="P72" s="35"/>
      <c r="Q72" s="35"/>
      <c r="R72" s="35"/>
      <c r="S72" s="35"/>
      <c r="T72" s="35"/>
      <c r="U72" s="35"/>
      <c r="V72" s="61" t="str">
        <f t="shared" si="1"/>
        <v/>
      </c>
    </row>
    <row r="73" spans="1:22" s="62" customFormat="1" x14ac:dyDescent="0.2">
      <c r="A73" s="35"/>
      <c r="B73" s="35"/>
      <c r="C73" s="35"/>
      <c r="D73" s="35"/>
      <c r="E73" s="35"/>
      <c r="F73" s="35"/>
      <c r="G73" s="35"/>
      <c r="H73" s="35"/>
      <c r="I73" s="35"/>
      <c r="J73" s="35"/>
      <c r="K73" s="35"/>
      <c r="L73" s="35"/>
      <c r="M73" s="35"/>
      <c r="N73" s="35"/>
      <c r="O73" s="35"/>
      <c r="P73" s="35"/>
      <c r="Q73" s="35"/>
      <c r="R73" s="35"/>
      <c r="S73" s="35"/>
      <c r="T73" s="35"/>
      <c r="U73" s="35"/>
      <c r="V73" s="61" t="str">
        <f t="shared" si="1"/>
        <v/>
      </c>
    </row>
    <row r="74" spans="1:22" s="62" customFormat="1" x14ac:dyDescent="0.2">
      <c r="A74" s="35"/>
      <c r="B74" s="35"/>
      <c r="C74" s="35"/>
      <c r="D74" s="35"/>
      <c r="E74" s="35"/>
      <c r="F74" s="35"/>
      <c r="G74" s="35"/>
      <c r="H74" s="35"/>
      <c r="I74" s="35"/>
      <c r="J74" s="35"/>
      <c r="K74" s="35"/>
      <c r="L74" s="35"/>
      <c r="M74" s="35"/>
      <c r="N74" s="35"/>
      <c r="O74" s="35"/>
      <c r="P74" s="35"/>
      <c r="Q74" s="35"/>
      <c r="R74" s="35"/>
      <c r="S74" s="35"/>
      <c r="T74" s="35"/>
      <c r="U74" s="35"/>
      <c r="V74" s="61" t="str">
        <f t="shared" si="1"/>
        <v/>
      </c>
    </row>
    <row r="75" spans="1:22" s="62" customFormat="1" x14ac:dyDescent="0.2">
      <c r="A75" s="35"/>
      <c r="B75" s="35"/>
      <c r="C75" s="35"/>
      <c r="D75" s="35"/>
      <c r="E75" s="35"/>
      <c r="F75" s="35"/>
      <c r="G75" s="35"/>
      <c r="H75" s="35"/>
      <c r="I75" s="35"/>
      <c r="J75" s="35"/>
      <c r="K75" s="35"/>
      <c r="L75" s="35"/>
      <c r="M75" s="35"/>
      <c r="N75" s="35"/>
      <c r="O75" s="35"/>
      <c r="P75" s="35"/>
      <c r="Q75" s="35"/>
      <c r="R75" s="35"/>
      <c r="S75" s="35"/>
      <c r="T75" s="35"/>
      <c r="U75" s="35"/>
      <c r="V75" s="61" t="str">
        <f t="shared" si="1"/>
        <v/>
      </c>
    </row>
    <row r="76" spans="1:22" s="62" customFormat="1" x14ac:dyDescent="0.2">
      <c r="A76" s="35"/>
      <c r="B76" s="35"/>
      <c r="C76" s="35"/>
      <c r="D76" s="35"/>
      <c r="E76" s="35"/>
      <c r="F76" s="35"/>
      <c r="G76" s="35"/>
      <c r="H76" s="35"/>
      <c r="I76" s="35"/>
      <c r="J76" s="35"/>
      <c r="K76" s="35"/>
      <c r="L76" s="35"/>
      <c r="M76" s="35"/>
      <c r="N76" s="35"/>
      <c r="O76" s="35"/>
      <c r="P76" s="35"/>
      <c r="Q76" s="35"/>
      <c r="R76" s="35"/>
      <c r="S76" s="35"/>
      <c r="T76" s="35"/>
      <c r="U76" s="35"/>
      <c r="V76" s="61" t="str">
        <f t="shared" si="1"/>
        <v/>
      </c>
    </row>
    <row r="77" spans="1:22" s="62" customFormat="1" x14ac:dyDescent="0.2">
      <c r="A77" s="35"/>
      <c r="B77" s="35"/>
      <c r="C77" s="35"/>
      <c r="D77" s="35"/>
      <c r="E77" s="35"/>
      <c r="F77" s="35"/>
      <c r="G77" s="35"/>
      <c r="H77" s="35"/>
      <c r="I77" s="35"/>
      <c r="J77" s="35"/>
      <c r="K77" s="35"/>
      <c r="L77" s="35"/>
      <c r="M77" s="35"/>
      <c r="N77" s="35"/>
      <c r="O77" s="35"/>
      <c r="P77" s="35"/>
      <c r="Q77" s="35"/>
      <c r="R77" s="35"/>
      <c r="S77" s="35"/>
      <c r="T77" s="35"/>
      <c r="U77" s="35"/>
      <c r="V77" s="61" t="str">
        <f t="shared" si="1"/>
        <v/>
      </c>
    </row>
    <row r="78" spans="1:22" s="62" customFormat="1" x14ac:dyDescent="0.2">
      <c r="A78" s="35"/>
      <c r="B78" s="35"/>
      <c r="C78" s="35"/>
      <c r="D78" s="35"/>
      <c r="E78" s="35"/>
      <c r="F78" s="35"/>
      <c r="G78" s="35"/>
      <c r="H78" s="35"/>
      <c r="I78" s="35"/>
      <c r="J78" s="35"/>
      <c r="K78" s="35"/>
      <c r="L78" s="35"/>
      <c r="M78" s="35"/>
      <c r="N78" s="35"/>
      <c r="O78" s="35"/>
      <c r="P78" s="35"/>
      <c r="Q78" s="35"/>
      <c r="R78" s="35"/>
      <c r="S78" s="35"/>
      <c r="T78" s="35"/>
      <c r="U78" s="35"/>
      <c r="V78" s="61" t="str">
        <f t="shared" si="1"/>
        <v/>
      </c>
    </row>
    <row r="79" spans="1:22" s="62" customFormat="1" x14ac:dyDescent="0.2">
      <c r="A79" s="35"/>
      <c r="B79" s="35"/>
      <c r="C79" s="35"/>
      <c r="D79" s="35"/>
      <c r="E79" s="35"/>
      <c r="F79" s="35"/>
      <c r="G79" s="35"/>
      <c r="H79" s="35"/>
      <c r="I79" s="35"/>
      <c r="J79" s="35"/>
      <c r="K79" s="35"/>
      <c r="L79" s="35"/>
      <c r="M79" s="35"/>
      <c r="N79" s="35"/>
      <c r="O79" s="35"/>
      <c r="P79" s="35"/>
      <c r="Q79" s="35"/>
      <c r="R79" s="35"/>
      <c r="S79" s="35"/>
      <c r="T79" s="35"/>
      <c r="U79" s="35"/>
      <c r="V79" s="61" t="str">
        <f t="shared" si="1"/>
        <v/>
      </c>
    </row>
    <row r="80" spans="1:22" s="62" customFormat="1" x14ac:dyDescent="0.2">
      <c r="A80" s="35"/>
      <c r="B80" s="35"/>
      <c r="C80" s="35"/>
      <c r="D80" s="35"/>
      <c r="E80" s="35"/>
      <c r="F80" s="35"/>
      <c r="G80" s="35"/>
      <c r="H80" s="35"/>
      <c r="I80" s="35"/>
      <c r="J80" s="35"/>
      <c r="K80" s="35"/>
      <c r="L80" s="35"/>
      <c r="M80" s="35"/>
      <c r="N80" s="35"/>
      <c r="O80" s="35"/>
      <c r="P80" s="35"/>
      <c r="Q80" s="35"/>
      <c r="R80" s="35"/>
      <c r="S80" s="35"/>
      <c r="T80" s="35"/>
      <c r="U80" s="35"/>
      <c r="V80" s="61" t="str">
        <f t="shared" si="1"/>
        <v/>
      </c>
    </row>
    <row r="81" spans="1:22" s="62" customFormat="1" x14ac:dyDescent="0.2">
      <c r="A81" s="35"/>
      <c r="B81" s="35"/>
      <c r="C81" s="35"/>
      <c r="D81" s="35"/>
      <c r="E81" s="35"/>
      <c r="F81" s="35"/>
      <c r="G81" s="35"/>
      <c r="H81" s="35"/>
      <c r="I81" s="35"/>
      <c r="J81" s="35"/>
      <c r="K81" s="35"/>
      <c r="L81" s="35"/>
      <c r="M81" s="35"/>
      <c r="N81" s="35"/>
      <c r="O81" s="35"/>
      <c r="P81" s="35"/>
      <c r="Q81" s="35"/>
      <c r="R81" s="35"/>
      <c r="S81" s="35"/>
      <c r="T81" s="35"/>
      <c r="U81" s="35"/>
      <c r="V81" s="61" t="str">
        <f t="shared" si="1"/>
        <v/>
      </c>
    </row>
    <row r="82" spans="1:22" s="62" customFormat="1" x14ac:dyDescent="0.2">
      <c r="A82" s="35"/>
      <c r="B82" s="35"/>
      <c r="C82" s="35"/>
      <c r="D82" s="35"/>
      <c r="E82" s="35"/>
      <c r="F82" s="35"/>
      <c r="G82" s="35"/>
      <c r="H82" s="35"/>
      <c r="I82" s="35"/>
      <c r="J82" s="35"/>
      <c r="K82" s="35"/>
      <c r="L82" s="35"/>
      <c r="M82" s="35"/>
      <c r="N82" s="35"/>
      <c r="O82" s="35"/>
      <c r="P82" s="35"/>
      <c r="Q82" s="35"/>
      <c r="R82" s="35"/>
      <c r="S82" s="35"/>
      <c r="T82" s="35"/>
      <c r="U82" s="35"/>
      <c r="V82" s="61" t="str">
        <f t="shared" si="1"/>
        <v/>
      </c>
    </row>
    <row r="83" spans="1:22" s="62" customFormat="1" x14ac:dyDescent="0.2">
      <c r="A83" s="35"/>
      <c r="B83" s="35"/>
      <c r="C83" s="35"/>
      <c r="D83" s="35"/>
      <c r="E83" s="35"/>
      <c r="F83" s="35"/>
      <c r="G83" s="35"/>
      <c r="H83" s="35"/>
      <c r="I83" s="35"/>
      <c r="J83" s="35"/>
      <c r="K83" s="35"/>
      <c r="L83" s="35"/>
      <c r="M83" s="35"/>
      <c r="N83" s="35"/>
      <c r="O83" s="35"/>
      <c r="P83" s="35"/>
      <c r="Q83" s="35"/>
      <c r="R83" s="35"/>
      <c r="S83" s="35"/>
      <c r="T83" s="35"/>
      <c r="U83" s="35"/>
      <c r="V83" s="61" t="str">
        <f t="shared" si="1"/>
        <v/>
      </c>
    </row>
    <row r="84" spans="1:22" s="62" customFormat="1" x14ac:dyDescent="0.2">
      <c r="A84" s="35"/>
      <c r="B84" s="35"/>
      <c r="C84" s="35"/>
      <c r="D84" s="35"/>
      <c r="E84" s="35"/>
      <c r="F84" s="35"/>
      <c r="G84" s="35"/>
      <c r="H84" s="35"/>
      <c r="I84" s="35"/>
      <c r="J84" s="35"/>
      <c r="K84" s="35"/>
      <c r="L84" s="35"/>
      <c r="M84" s="35"/>
      <c r="N84" s="35"/>
      <c r="O84" s="35"/>
      <c r="P84" s="35"/>
      <c r="Q84" s="35"/>
      <c r="R84" s="35"/>
      <c r="S84" s="35"/>
      <c r="T84" s="35"/>
      <c r="U84" s="35"/>
      <c r="V84" s="61" t="str">
        <f t="shared" si="1"/>
        <v/>
      </c>
    </row>
    <row r="85" spans="1:22" s="62" customFormat="1" x14ac:dyDescent="0.2">
      <c r="A85" s="35"/>
      <c r="B85" s="35"/>
      <c r="C85" s="35"/>
      <c r="D85" s="35"/>
      <c r="E85" s="35"/>
      <c r="F85" s="35"/>
      <c r="G85" s="35"/>
      <c r="H85" s="35"/>
      <c r="I85" s="35"/>
      <c r="J85" s="35"/>
      <c r="K85" s="35"/>
      <c r="L85" s="35"/>
      <c r="M85" s="35"/>
      <c r="N85" s="35"/>
      <c r="O85" s="35"/>
      <c r="P85" s="35"/>
      <c r="Q85" s="35"/>
      <c r="R85" s="35"/>
      <c r="S85" s="35"/>
      <c r="T85" s="35"/>
      <c r="U85" s="35"/>
      <c r="V85" s="61" t="str">
        <f t="shared" si="1"/>
        <v/>
      </c>
    </row>
    <row r="86" spans="1:22" s="62" customFormat="1" x14ac:dyDescent="0.2">
      <c r="A86" s="35"/>
      <c r="B86" s="35"/>
      <c r="C86" s="35"/>
      <c r="D86" s="35"/>
      <c r="E86" s="35"/>
      <c r="F86" s="35"/>
      <c r="G86" s="35"/>
      <c r="H86" s="35"/>
      <c r="I86" s="35"/>
      <c r="J86" s="35"/>
      <c r="K86" s="35"/>
      <c r="L86" s="35"/>
      <c r="M86" s="35"/>
      <c r="N86" s="35"/>
      <c r="O86" s="35"/>
      <c r="P86" s="35"/>
      <c r="Q86" s="35"/>
      <c r="R86" s="35"/>
      <c r="S86" s="35"/>
      <c r="T86" s="35"/>
      <c r="U86" s="35"/>
      <c r="V86" s="61" t="str">
        <f t="shared" si="1"/>
        <v/>
      </c>
    </row>
    <row r="87" spans="1:22" s="62" customFormat="1" x14ac:dyDescent="0.2">
      <c r="A87" s="35"/>
      <c r="B87" s="35"/>
      <c r="C87" s="35"/>
      <c r="D87" s="35"/>
      <c r="E87" s="35"/>
      <c r="F87" s="35"/>
      <c r="G87" s="35"/>
      <c r="H87" s="35"/>
      <c r="I87" s="35"/>
      <c r="J87" s="35"/>
      <c r="K87" s="35"/>
      <c r="L87" s="35"/>
      <c r="M87" s="35"/>
      <c r="N87" s="35"/>
      <c r="O87" s="35"/>
      <c r="P87" s="35"/>
      <c r="Q87" s="35"/>
      <c r="R87" s="35"/>
      <c r="S87" s="35"/>
      <c r="T87" s="35"/>
      <c r="U87" s="35"/>
      <c r="V87" s="61" t="str">
        <f t="shared" si="1"/>
        <v/>
      </c>
    </row>
    <row r="88" spans="1:22" s="62" customFormat="1" x14ac:dyDescent="0.2">
      <c r="A88" s="35"/>
      <c r="B88" s="35"/>
      <c r="C88" s="35"/>
      <c r="D88" s="35"/>
      <c r="E88" s="35"/>
      <c r="F88" s="35"/>
      <c r="G88" s="35"/>
      <c r="H88" s="35"/>
      <c r="I88" s="35"/>
      <c r="J88" s="35"/>
      <c r="K88" s="35"/>
      <c r="L88" s="35"/>
      <c r="M88" s="35"/>
      <c r="N88" s="35"/>
      <c r="O88" s="35"/>
      <c r="P88" s="35"/>
      <c r="Q88" s="35"/>
      <c r="R88" s="35"/>
      <c r="S88" s="35"/>
      <c r="T88" s="35"/>
      <c r="U88" s="35"/>
      <c r="V88" s="61" t="str">
        <f t="shared" si="1"/>
        <v/>
      </c>
    </row>
    <row r="89" spans="1:22" s="62" customFormat="1" x14ac:dyDescent="0.2">
      <c r="A89" s="35"/>
      <c r="B89" s="35"/>
      <c r="C89" s="35"/>
      <c r="D89" s="35"/>
      <c r="E89" s="35"/>
      <c r="F89" s="35"/>
      <c r="G89" s="35"/>
      <c r="H89" s="35"/>
      <c r="I89" s="35"/>
      <c r="J89" s="35"/>
      <c r="K89" s="35"/>
      <c r="L89" s="35"/>
      <c r="M89" s="35"/>
      <c r="N89" s="35"/>
      <c r="O89" s="35"/>
      <c r="P89" s="35"/>
      <c r="Q89" s="35"/>
      <c r="R89" s="35"/>
      <c r="S89" s="35"/>
      <c r="T89" s="35"/>
      <c r="U89" s="35"/>
      <c r="V89" s="61" t="str">
        <f t="shared" si="1"/>
        <v/>
      </c>
    </row>
    <row r="90" spans="1:22" s="62" customFormat="1" x14ac:dyDescent="0.2">
      <c r="A90" s="35"/>
      <c r="B90" s="35"/>
      <c r="C90" s="35"/>
      <c r="D90" s="35"/>
      <c r="E90" s="35"/>
      <c r="F90" s="35"/>
      <c r="G90" s="35"/>
      <c r="H90" s="35"/>
      <c r="I90" s="35"/>
      <c r="J90" s="35"/>
      <c r="K90" s="35"/>
      <c r="L90" s="35"/>
      <c r="M90" s="35"/>
      <c r="N90" s="35"/>
      <c r="O90" s="35"/>
      <c r="P90" s="35"/>
      <c r="Q90" s="35"/>
      <c r="R90" s="35"/>
      <c r="S90" s="35"/>
      <c r="T90" s="35"/>
      <c r="U90" s="35"/>
      <c r="V90" s="61" t="str">
        <f t="shared" si="1"/>
        <v/>
      </c>
    </row>
    <row r="91" spans="1:22" s="62" customFormat="1" x14ac:dyDescent="0.2">
      <c r="A91" s="35"/>
      <c r="B91" s="35"/>
      <c r="C91" s="35"/>
      <c r="D91" s="35"/>
      <c r="E91" s="35"/>
      <c r="F91" s="35"/>
      <c r="G91" s="35"/>
      <c r="H91" s="35"/>
      <c r="I91" s="35"/>
      <c r="J91" s="35"/>
      <c r="K91" s="35"/>
      <c r="L91" s="35"/>
      <c r="M91" s="35"/>
      <c r="N91" s="35"/>
      <c r="O91" s="35"/>
      <c r="P91" s="35"/>
      <c r="Q91" s="35"/>
      <c r="R91" s="35"/>
      <c r="S91" s="35"/>
      <c r="T91" s="35"/>
      <c r="U91" s="35"/>
      <c r="V91" s="61" t="str">
        <f t="shared" si="1"/>
        <v/>
      </c>
    </row>
    <row r="92" spans="1:22" s="62" customFormat="1" x14ac:dyDescent="0.2">
      <c r="A92" s="35"/>
      <c r="B92" s="35"/>
      <c r="C92" s="35"/>
      <c r="D92" s="35"/>
      <c r="E92" s="35"/>
      <c r="F92" s="35"/>
      <c r="G92" s="35"/>
      <c r="H92" s="35"/>
      <c r="I92" s="35"/>
      <c r="J92" s="35"/>
      <c r="K92" s="35"/>
      <c r="L92" s="35"/>
      <c r="M92" s="35"/>
      <c r="N92" s="35"/>
      <c r="O92" s="35"/>
      <c r="P92" s="35"/>
      <c r="Q92" s="35"/>
      <c r="R92" s="35"/>
      <c r="S92" s="35"/>
      <c r="T92" s="35"/>
      <c r="U92" s="35"/>
      <c r="V92" s="61" t="str">
        <f t="shared" si="1"/>
        <v/>
      </c>
    </row>
    <row r="93" spans="1:22" s="62" customFormat="1" x14ac:dyDescent="0.2">
      <c r="A93" s="35"/>
      <c r="B93" s="35"/>
      <c r="C93" s="35"/>
      <c r="D93" s="35"/>
      <c r="E93" s="35"/>
      <c r="F93" s="35"/>
      <c r="G93" s="35"/>
      <c r="H93" s="35"/>
      <c r="I93" s="35"/>
      <c r="J93" s="35"/>
      <c r="K93" s="35"/>
      <c r="L93" s="35"/>
      <c r="M93" s="35"/>
      <c r="N93" s="35"/>
      <c r="O93" s="35"/>
      <c r="P93" s="35"/>
      <c r="Q93" s="35"/>
      <c r="R93" s="35"/>
      <c r="S93" s="35"/>
      <c r="T93" s="35"/>
      <c r="U93" s="35"/>
      <c r="V93" s="61" t="str">
        <f t="shared" si="1"/>
        <v/>
      </c>
    </row>
    <row r="94" spans="1:22" s="62" customFormat="1" x14ac:dyDescent="0.2">
      <c r="A94" s="35"/>
      <c r="B94" s="35"/>
      <c r="C94" s="35"/>
      <c r="D94" s="35"/>
      <c r="E94" s="35"/>
      <c r="F94" s="35"/>
      <c r="G94" s="35"/>
      <c r="H94" s="35"/>
      <c r="I94" s="35"/>
      <c r="J94" s="35"/>
      <c r="K94" s="35"/>
      <c r="L94" s="35"/>
      <c r="M94" s="35"/>
      <c r="N94" s="35"/>
      <c r="O94" s="35"/>
      <c r="P94" s="35"/>
      <c r="Q94" s="35"/>
      <c r="R94" s="35"/>
      <c r="S94" s="35"/>
      <c r="T94" s="35"/>
      <c r="U94" s="35"/>
      <c r="V94" s="63" t="str">
        <f>IF(OR(ISBLANK(B94),ISBLANK(C94)),"",B94&amp;", "&amp;C94&amp;IF(OR(ISBLANK(D94),ISBLANK(E94)),""," / "&amp;D94&amp;", "&amp;E94&amp;IF(OR(ISBLANK(F94),ISBLANK(G94)),""," / "&amp;F94&amp;", "&amp;G94&amp;IF(OR(ISBLANK(H94),ISBLANK(I94)),""," / "&amp;H94&amp;", "&amp;I94&amp;IF(OR(ISBLANK(J94),ISBLANK(K94)),""," / "&amp;J94&amp;", "&amp;K94&amp;IF(OR(ISBLANK(L94),ISBLANK(M94)),""," / "&amp;L94&amp;", "&amp;M94&amp;IF(OR(ISBLANK(N94),ISBLANK(O94)),""," / "&amp;N94&amp;", "&amp;O94&amp;IF(OR(ISBLANK(P94),ISBLANK(Q94)),""," / "&amp;P94&amp;", "&amp;Q94&amp;IF(OR(ISBLANK(R94),ISBLANK(S94)),""," / "&amp;R94&amp;", "&amp;S94 &amp; IF(OR(ISBLANK(T94), ISBLANK(U94)), "", " / " &amp; T94 &amp; ", " &amp; U94))))))))))</f>
        <v/>
      </c>
    </row>
    <row r="95" spans="1:22" s="62" customFormat="1" x14ac:dyDescent="0.2">
      <c r="A95" s="35"/>
      <c r="B95" s="35"/>
      <c r="C95" s="35"/>
      <c r="D95" s="35"/>
      <c r="E95" s="35"/>
      <c r="F95" s="35"/>
      <c r="G95" s="35"/>
      <c r="H95" s="35"/>
      <c r="I95" s="35"/>
      <c r="J95" s="35"/>
      <c r="K95" s="35"/>
      <c r="L95" s="35"/>
      <c r="M95" s="35"/>
      <c r="N95" s="35"/>
      <c r="O95" s="35"/>
      <c r="P95" s="35"/>
      <c r="Q95" s="35"/>
      <c r="R95" s="35"/>
      <c r="S95" s="35"/>
      <c r="T95" s="35"/>
      <c r="U95" s="35"/>
      <c r="V95" s="63" t="str">
        <f>IF(OR(ISBLANK(B95),ISBLANK(C95)),"",B95&amp;", "&amp;C95&amp;IF(OR(ISBLANK(D95),ISBLANK(E95)),""," / "&amp;D95&amp;", "&amp;E95&amp;IF(OR(ISBLANK(F95),ISBLANK(G95)),""," / "&amp;F95&amp;", "&amp;G95&amp;IF(OR(ISBLANK(H95),ISBLANK(I95)),""," / "&amp;H95&amp;", "&amp;I95&amp;IF(OR(ISBLANK(J95),ISBLANK(K95)),""," / "&amp;J95&amp;", "&amp;K95&amp;IF(OR(ISBLANK(L95),ISBLANK(M95)),""," / "&amp;L95&amp;", "&amp;M95&amp;IF(OR(ISBLANK(N95),ISBLANK(O95)),""," / "&amp;N95&amp;", "&amp;O95&amp;IF(OR(ISBLANK(P95),ISBLANK(Q95)),""," / "&amp;P95&amp;", "&amp;Q95&amp;IF(OR(ISBLANK(R95),ISBLANK(S95)),""," / "&amp;R95&amp;", "&amp;S95 &amp; IF(OR(ISBLANK(T95), ISBLANK(U95)), "", " / " &amp; T95 &amp; ", " &amp; U95))))))))))</f>
        <v/>
      </c>
    </row>
    <row r="96" spans="1:22" s="62" customFormat="1" x14ac:dyDescent="0.2">
      <c r="A96" s="35"/>
      <c r="B96" s="35"/>
      <c r="C96" s="35"/>
      <c r="D96" s="35"/>
      <c r="E96" s="35"/>
      <c r="F96" s="35"/>
      <c r="G96" s="35"/>
      <c r="H96" s="35"/>
      <c r="I96" s="35"/>
      <c r="J96" s="35"/>
      <c r="K96" s="35"/>
      <c r="L96" s="35"/>
      <c r="M96" s="35"/>
      <c r="N96" s="35"/>
      <c r="O96" s="35"/>
      <c r="P96" s="35"/>
      <c r="Q96" s="35"/>
      <c r="R96" s="35"/>
      <c r="S96" s="35"/>
      <c r="T96" s="35"/>
      <c r="U96" s="35"/>
      <c r="V96" s="63" t="str">
        <f>IF(OR(ISBLANK(B96),ISBLANK(C96)),"",B96&amp;", "&amp;C96&amp;IF(OR(ISBLANK(D96),ISBLANK(E96)),""," / "&amp;D96&amp;", "&amp;E96&amp;IF(OR(ISBLANK(F96),ISBLANK(G96)),""," / "&amp;F96&amp;", "&amp;G96&amp;IF(OR(ISBLANK(H96),ISBLANK(I96)),""," / "&amp;H96&amp;", "&amp;I96&amp;IF(OR(ISBLANK(J96),ISBLANK(K96)),""," / "&amp;J96&amp;", "&amp;K96&amp;IF(OR(ISBLANK(L96),ISBLANK(M96)),""," / "&amp;L96&amp;", "&amp;M96&amp;IF(OR(ISBLANK(N96),ISBLANK(O96)),""," / "&amp;N96&amp;", "&amp;O96&amp;IF(OR(ISBLANK(P96),ISBLANK(Q96)),""," / "&amp;P96&amp;", "&amp;Q96&amp;IF(OR(ISBLANK(R96),ISBLANK(S96)),""," / "&amp;R96&amp;", "&amp;S96 &amp; IF(OR(ISBLANK(T96), ISBLANK(U96)), "", " / " &amp; T96 &amp; ", " &amp; U96))))))))))</f>
        <v/>
      </c>
    </row>
    <row r="97" spans="1:22" s="62" customFormat="1" x14ac:dyDescent="0.2">
      <c r="A97" s="35"/>
      <c r="B97" s="35"/>
      <c r="C97" s="35"/>
      <c r="D97" s="35"/>
      <c r="E97" s="35"/>
      <c r="F97" s="35"/>
      <c r="G97" s="35"/>
      <c r="H97" s="35"/>
      <c r="I97" s="35"/>
      <c r="J97" s="35"/>
      <c r="K97" s="35"/>
      <c r="L97" s="35"/>
      <c r="M97" s="35"/>
      <c r="N97" s="35"/>
      <c r="O97" s="35"/>
      <c r="P97" s="35"/>
      <c r="Q97" s="35"/>
      <c r="R97" s="35"/>
      <c r="S97" s="35"/>
      <c r="T97" s="35"/>
      <c r="U97" s="35"/>
      <c r="V97" s="63" t="str">
        <f>IF(OR(ISBLANK(B97),ISBLANK(C97)),"",B97&amp;", "&amp;C97&amp;IF(OR(ISBLANK(D97),ISBLANK(E97)),""," / "&amp;D97&amp;", "&amp;E97&amp;IF(OR(ISBLANK(F97),ISBLANK(G97)),""," / "&amp;F97&amp;", "&amp;G97&amp;IF(OR(ISBLANK(H97),ISBLANK(I97)),""," / "&amp;H97&amp;", "&amp;I97&amp;IF(OR(ISBLANK(J97),ISBLANK(K97)),""," / "&amp;J97&amp;", "&amp;K97&amp;IF(OR(ISBLANK(L97),ISBLANK(M97)),""," / "&amp;L97&amp;", "&amp;M97&amp;IF(OR(ISBLANK(N97),ISBLANK(O97)),""," / "&amp;N97&amp;", "&amp;O97&amp;IF(OR(ISBLANK(P97),ISBLANK(Q97)),""," / "&amp;P97&amp;", "&amp;Q97&amp;IF(OR(ISBLANK(R97),ISBLANK(S97)),""," / "&amp;R97&amp;", "&amp;S97 &amp; IF(OR(ISBLANK(T97), ISBLANK(U97)), "", " / " &amp; T97 &amp; ", " &amp; U97))))))))))</f>
        <v/>
      </c>
    </row>
    <row r="98" spans="1:22" s="62" customFormat="1" x14ac:dyDescent="0.2">
      <c r="A98" s="35"/>
      <c r="B98" s="35"/>
      <c r="C98" s="35"/>
      <c r="D98" s="35"/>
      <c r="E98" s="35"/>
      <c r="F98" s="35"/>
      <c r="G98" s="35"/>
      <c r="H98" s="35"/>
      <c r="I98" s="35"/>
      <c r="J98" s="35"/>
      <c r="K98" s="35"/>
      <c r="L98" s="35"/>
      <c r="M98" s="35"/>
      <c r="N98" s="35"/>
      <c r="O98" s="35"/>
      <c r="P98" s="35"/>
      <c r="Q98" s="35"/>
      <c r="R98" s="35"/>
      <c r="S98" s="35"/>
      <c r="T98" s="35"/>
      <c r="U98" s="35"/>
      <c r="V98" s="63" t="str">
        <f>IF(OR(ISBLANK(B98),ISBLANK(C98)),"",B98&amp;", "&amp;C98&amp;IF(OR(ISBLANK(D98),ISBLANK(E98)),""," / "&amp;D98&amp;", "&amp;E98&amp;IF(OR(ISBLANK(F98),ISBLANK(G98)),""," / "&amp;F98&amp;", "&amp;G98&amp;IF(OR(ISBLANK(H98),ISBLANK(I98)),""," / "&amp;H98&amp;", "&amp;I98&amp;IF(OR(ISBLANK(J98),ISBLANK(K98)),""," / "&amp;J98&amp;", "&amp;K98&amp;IF(OR(ISBLANK(L98),ISBLANK(M98)),""," / "&amp;L98&amp;", "&amp;M98&amp;IF(OR(ISBLANK(N98),ISBLANK(O98)),""," / "&amp;N98&amp;", "&amp;O98&amp;IF(OR(ISBLANK(P98),ISBLANK(Q98)),""," / "&amp;P98&amp;", "&amp;Q98&amp;IF(OR(ISBLANK(R98),ISBLANK(S98)),""," / "&amp;R98&amp;", "&amp;S98 &amp; IF(OR(ISBLANK(T98), ISBLANK(U98)), "", " / " &amp; T98 &amp; ", " &amp; U98))))))))))</f>
        <v/>
      </c>
    </row>
    <row r="99" spans="1:22" s="62" customFormat="1" x14ac:dyDescent="0.2">
      <c r="A99" s="35"/>
      <c r="B99" s="35"/>
      <c r="C99" s="35"/>
      <c r="D99" s="35"/>
      <c r="E99" s="35"/>
      <c r="F99" s="35"/>
      <c r="G99" s="35"/>
      <c r="H99" s="35"/>
      <c r="I99" s="35"/>
      <c r="J99" s="35"/>
      <c r="K99" s="35"/>
      <c r="L99" s="35"/>
      <c r="M99" s="35"/>
      <c r="N99" s="35"/>
      <c r="O99" s="35"/>
      <c r="P99" s="35"/>
      <c r="Q99" s="35"/>
      <c r="R99" s="35"/>
      <c r="S99" s="35"/>
      <c r="T99" s="35"/>
      <c r="U99" s="35"/>
      <c r="V99" s="61" t="str">
        <f t="shared" si="1"/>
        <v/>
      </c>
    </row>
    <row r="100" spans="1:22" s="62" customFormat="1" x14ac:dyDescent="0.2">
      <c r="A100" s="35"/>
      <c r="B100" s="35"/>
      <c r="C100" s="35"/>
      <c r="D100" s="35"/>
      <c r="E100" s="35"/>
      <c r="F100" s="35"/>
      <c r="G100" s="35"/>
      <c r="H100" s="35"/>
      <c r="I100" s="35"/>
      <c r="J100" s="35"/>
      <c r="K100" s="35"/>
      <c r="L100" s="35"/>
      <c r="M100" s="35"/>
      <c r="N100" s="35"/>
      <c r="O100" s="35"/>
      <c r="P100" s="35"/>
      <c r="Q100" s="35"/>
      <c r="R100" s="35"/>
      <c r="S100" s="35"/>
      <c r="T100" s="35"/>
      <c r="U100" s="35"/>
      <c r="V100" s="61" t="str">
        <f t="shared" si="1"/>
        <v/>
      </c>
    </row>
  </sheetData>
  <sheetProtection sheet="1" objects="1" scenarios="1" formatColumns="0" formatRows="0" insertRows="0" deleteRows="0"/>
  <conditionalFormatting sqref="E2:E105 G2:G105 I2:I105 K2:K105 M2:M105 O2:O105 Q2:Q105 S2:S105 U2:U105">
    <cfRule type="expression" dxfId="158" priority="17" stopIfTrue="1">
      <formula>OR(AND(NOT(ISBLANK(E2)), COUNTIF(plantPartsList,E2)=0), AND(ISBLANK(D2),NOT(ISBLANK(E2))))</formula>
    </cfRule>
  </conditionalFormatting>
  <conditionalFormatting sqref="A2:A105">
    <cfRule type="expression" dxfId="157" priority="23" stopIfTrue="1">
      <formula>AND(NOT(ISBLANK(A2)), COUNTIF(publiRefs,A2)=0)</formula>
    </cfRule>
    <cfRule type="expression" dxfId="156" priority="24" stopIfTrue="1">
      <formula>AND(ISBLANK(A2), COUNTA(A2:U2))</formula>
    </cfRule>
  </conditionalFormatting>
  <conditionalFormatting sqref="B2:B105">
    <cfRule type="expression" dxfId="155" priority="21" stopIfTrue="1">
      <formula>AND(NOT(ISBLANK(B2)), COUNTIF(speciesRefs,B2)=0)</formula>
    </cfRule>
    <cfRule type="expression" dxfId="154" priority="22" stopIfTrue="1">
      <formula>AND(ISBLANK(B2), COUNTA(A2:U2))</formula>
    </cfRule>
  </conditionalFormatting>
  <conditionalFormatting sqref="C2:C105">
    <cfRule type="expression" dxfId="153" priority="19" stopIfTrue="1">
      <formula>AND(NOT(ISBLANK(C2)), COUNTIF(plantPartsList,C2)=0)</formula>
    </cfRule>
    <cfRule type="expression" dxfId="152" priority="20" stopIfTrue="1">
      <formula>AND(ISBLANK(C2), COUNTA(A2:U2))</formula>
    </cfRule>
  </conditionalFormatting>
  <conditionalFormatting sqref="D2:D105 F2:F105 H2:H105 J2:J105 L2:L105 N2:N105 P2:P105 R2:R105 T2:T105">
    <cfRule type="expression" dxfId="151" priority="18" stopIfTrue="1">
      <formula>OR(AND(NOT(ISBLANK(D2)), COUNTIF(speciesRefs,D2)=0), AND(ISBLANK(D2),NOT(ISBLANK(E2))))</formula>
    </cfRule>
  </conditionalFormatting>
  <dataValidations xWindow="200" yWindow="184" count="21">
    <dataValidation type="list" errorStyle="warning" allowBlank="1" showInputMessage="1" showErrorMessage="1" errorTitle="Error: Publication" error="Only the values in the list are valids." promptTitle="Publication" prompt="Select a publication by clicking on the dropdown arrow." sqref="A2:A105">
      <formula1>publiRefs</formula1>
    </dataValidation>
    <dataValidation type="list" errorStyle="warning" allowBlank="1" showInputMessage="1" showErrorMessage="1" errorTitle="Error: Plant ingredient #1" error="Only the values in the list are valids." promptTitle="Plant ingredient #1" prompt="Select a species by clicking on the dropdown arrow." sqref="B2:B105">
      <formula1>speciesRefs</formula1>
    </dataValidation>
    <dataValidation type="list" errorStyle="warning" allowBlank="1" showInputMessage="1" showErrorMessage="1" errorTitle="Error: Plant ingredient #1" error="Only the values in the list are valids." promptTitle="Plant ingredient #1" prompt="Select a plant part by clicking on the dropdown arrow." sqref="C2:C105">
      <formula1>plantPartsList</formula1>
    </dataValidation>
    <dataValidation type="list" errorStyle="warning" allowBlank="1" showInputMessage="1" showErrorMessage="1" errorTitle="Error: Plant ingredient #2" error="Only the values in the list are valids." promptTitle="Plant ingredient #2" prompt="Select a species by clicking on the dropdown arrow." sqref="D2:D105">
      <formula1>speciesRefs</formula1>
    </dataValidation>
    <dataValidation type="list" errorStyle="warning" allowBlank="1" showInputMessage="1" showErrorMessage="1" errorTitle="Error: Plant ingredient #2" error="Only the values in the list are valids." promptTitle="Plant ingredient #2" prompt="Select a plant part by clicking on the dropdown arrow." sqref="E2:E105">
      <formula1>plantPartsList</formula1>
    </dataValidation>
    <dataValidation type="list" errorStyle="warning" allowBlank="1" showInputMessage="1" showErrorMessage="1" errorTitle="Error: Plant ingredient #3" error="Only the values in the list are valids." promptTitle="Plant ingredient #3" prompt="Select a species by clicking on the dropdown arrow." sqref="F2:F105">
      <formula1>speciesRefs</formula1>
    </dataValidation>
    <dataValidation type="list" errorStyle="warning" allowBlank="1" showInputMessage="1" showErrorMessage="1" errorTitle="Error: Plant ingredient #3" error="Only the values in the list are valids." promptTitle="Plant ingredient #3" prompt="Select a plant part by clicking on the dropdown arrow." sqref="G2:G105">
      <formula1>plantPartsList</formula1>
    </dataValidation>
    <dataValidation type="list" errorStyle="warning" allowBlank="1" showInputMessage="1" showErrorMessage="1" errorTitle="Error: Plant ingredient #4" error="Only the values in the list are valids." promptTitle="Plant ingredient #4" prompt="Select a species by clicking on the dropdown arrow." sqref="H2:H105">
      <formula1>speciesRefs</formula1>
    </dataValidation>
    <dataValidation type="list" errorStyle="warning" allowBlank="1" showInputMessage="1" showErrorMessage="1" errorTitle="Error: Plant ingredient #4" error="Only the values in the list are valids." promptTitle="Plant ingredient #4" prompt="Select a plant part by clicking on the dropdown arrow." sqref="I2:I105">
      <formula1>plantPartsList</formula1>
    </dataValidation>
    <dataValidation type="list" errorStyle="warning" allowBlank="1" showInputMessage="1" showErrorMessage="1" errorTitle="Error: Plant ingredient #5" error="Only the values in the list are valids." promptTitle="Plant ingredient #5" prompt="Select a species by clicking on the dropdown arrow." sqref="J2:J105">
      <formula1>speciesRefs</formula1>
    </dataValidation>
    <dataValidation type="list" errorStyle="warning" allowBlank="1" showInputMessage="1" showErrorMessage="1" errorTitle="Error: Plant ingredient #5" error="Only the values in the list are valids." promptTitle="Plant ingredient #5" prompt="Select a plant part by clicking on the dropdown arrow." sqref="K2:K105">
      <formula1>plantPartsList</formula1>
    </dataValidation>
    <dataValidation type="list" errorStyle="warning" allowBlank="1" showInputMessage="1" showErrorMessage="1" errorTitle="Error: Plant ingredient #6" error="Only the values in the list are valids." promptTitle="Plant ingredient #6" prompt="Select a species by clicking on the dropdown arrow." sqref="L2:L105">
      <formula1>speciesRefs</formula1>
    </dataValidation>
    <dataValidation type="list" errorStyle="warning" allowBlank="1" showInputMessage="1" showErrorMessage="1" errorTitle="Error: Plant ingredient #6" error="Only the values in the list are valids." promptTitle="Plant ingredient #6" prompt="Select a plant part by clicking on the dropdown arrow." sqref="M2:M105">
      <formula1>plantPartsList</formula1>
    </dataValidation>
    <dataValidation type="list" errorStyle="warning" allowBlank="1" showInputMessage="1" showErrorMessage="1" errorTitle="Error: Plant ingredient #7" error="Only the values in the list are valids." promptTitle="Plant ingredient #7" prompt="Select a species by clicking on the dropdown arrow." sqref="N2:N105">
      <formula1>speciesRefs</formula1>
    </dataValidation>
    <dataValidation type="list" errorStyle="warning" allowBlank="1" showInputMessage="1" showErrorMessage="1" errorTitle="Error: Plant ingredient #7" error="Only the values in the list are valids." promptTitle="Plant ingredient #7" prompt="Select a plant part by clicking on the dropdown arrow." sqref="O2:O105">
      <formula1>plantPartsList</formula1>
    </dataValidation>
    <dataValidation type="list" errorStyle="warning" allowBlank="1" showInputMessage="1" showErrorMessage="1" errorTitle="Error: Plant ingredient #8" error="Only the values in the list are valids." promptTitle="Plant ingredient #8" prompt="Select a species by clicking on the dropdown arrow." sqref="P2:P105">
      <formula1>speciesRefs</formula1>
    </dataValidation>
    <dataValidation type="list" errorStyle="warning" allowBlank="1" showInputMessage="1" showErrorMessage="1" errorTitle="Error: Plant ingredient #8" error="Only the values in the list are valids." promptTitle="Plant ingredient #8" prompt="Select a plant part by clicking on the dropdown arrow." sqref="Q2:Q105">
      <formula1>plantPartsList</formula1>
    </dataValidation>
    <dataValidation type="list" errorStyle="warning" allowBlank="1" showInputMessage="1" showErrorMessage="1" errorTitle="Error: Plant ingredient #9" error="Only the values in the list are valids." promptTitle="Plant ingredient #9" prompt="Select a species by clicking on the dropdown arrow." sqref="R2:R105">
      <formula1>speciesRefs</formula1>
    </dataValidation>
    <dataValidation type="list" errorStyle="warning" allowBlank="1" showInputMessage="1" showErrorMessage="1" errorTitle="Error: Plant ingredient #9" error="Only the values in the list are valids." promptTitle="Plant ingredient #9" prompt="Select a plant part by clicking on the dropdown arrow." sqref="S2:S105">
      <formula1>plantPartsList</formula1>
    </dataValidation>
    <dataValidation type="list" errorStyle="warning" allowBlank="1" showInputMessage="1" showErrorMessage="1" errorTitle="Error: Plant ingredient #10" error="Only the values in the list are valids." promptTitle="Plant ingredient #10" prompt="Select a species by clicking on the dropdown arrow." sqref="T2:T105">
      <formula1>speciesRefs</formula1>
    </dataValidation>
    <dataValidation type="list" errorStyle="warning" allowBlank="1" showInputMessage="1" showErrorMessage="1" errorTitle="Error: Plant ingredient #10" error="Only the values in the list are valids." promptTitle="Plant ingredient #10" prompt="Select a plant part by clicking on the dropdown arrow." sqref="U2:U105">
      <formula1>plantPartsList</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95"/>
  <sheetViews>
    <sheetView zoomScale="115" zoomScaleNormal="115" workbookViewId="0">
      <selection activeCell="B4" sqref="B4"/>
    </sheetView>
  </sheetViews>
  <sheetFormatPr defaultColWidth="10.5703125" defaultRowHeight="12.75" x14ac:dyDescent="0.2"/>
  <cols>
    <col min="1" max="1" width="67.140625" style="33" customWidth="1"/>
    <col min="2" max="2" width="59.7109375" style="33" customWidth="1"/>
    <col min="3" max="3" width="85.7109375" style="33" customWidth="1"/>
    <col min="4" max="4" width="75.5703125" style="33" customWidth="1"/>
    <col min="5" max="5" width="14.42578125" style="33" customWidth="1"/>
    <col min="6" max="6" width="9.7109375" style="33" customWidth="1"/>
    <col min="7" max="7" width="48.85546875" style="36" customWidth="1"/>
    <col min="8" max="8" width="18.5703125" style="33" customWidth="1"/>
    <col min="9" max="9" width="22" style="33" customWidth="1"/>
    <col min="10" max="16384" width="10.5703125" style="10"/>
  </cols>
  <sheetData>
    <row r="1" spans="1:9" ht="42.75" customHeight="1" x14ac:dyDescent="0.2">
      <c r="A1" s="29" t="s">
        <v>620</v>
      </c>
      <c r="B1" s="43" t="s">
        <v>586</v>
      </c>
      <c r="C1" s="29" t="s">
        <v>548</v>
      </c>
      <c r="D1" s="29" t="s">
        <v>617</v>
      </c>
      <c r="E1" s="29" t="s">
        <v>574</v>
      </c>
      <c r="F1" s="29" t="s">
        <v>549</v>
      </c>
      <c r="G1" s="29" t="s">
        <v>550</v>
      </c>
      <c r="H1" s="29" t="s">
        <v>553</v>
      </c>
      <c r="I1" s="29" t="s">
        <v>572</v>
      </c>
    </row>
    <row r="2" spans="1:9" ht="51" x14ac:dyDescent="0.2">
      <c r="A2" s="30" t="s">
        <v>719</v>
      </c>
      <c r="B2" s="38" t="s">
        <v>782</v>
      </c>
      <c r="C2" s="20" t="s">
        <v>783</v>
      </c>
      <c r="D2" s="4" t="s">
        <v>726</v>
      </c>
      <c r="E2" s="30" t="s">
        <v>684</v>
      </c>
      <c r="F2" s="30" t="s">
        <v>705</v>
      </c>
      <c r="G2" s="20"/>
      <c r="H2" s="20"/>
      <c r="I2" s="38"/>
    </row>
    <row r="3" spans="1:9" ht="89.25" x14ac:dyDescent="0.2">
      <c r="A3" s="30" t="s">
        <v>734</v>
      </c>
      <c r="B3" s="30" t="s">
        <v>784</v>
      </c>
      <c r="C3" s="30" t="s">
        <v>785</v>
      </c>
      <c r="D3" s="30" t="s">
        <v>740</v>
      </c>
      <c r="E3" s="30" t="s">
        <v>685</v>
      </c>
      <c r="F3" s="30" t="s">
        <v>705</v>
      </c>
      <c r="G3" s="30"/>
      <c r="H3" s="30"/>
      <c r="I3" s="30"/>
    </row>
    <row r="4" spans="1:9" ht="38.25" x14ac:dyDescent="0.2">
      <c r="A4" s="30"/>
      <c r="B4" s="30" t="s">
        <v>786</v>
      </c>
      <c r="C4" s="30" t="s">
        <v>787</v>
      </c>
      <c r="D4" s="30"/>
      <c r="E4" s="30"/>
      <c r="F4" s="30"/>
      <c r="G4" s="30"/>
      <c r="H4" s="30"/>
      <c r="I4" s="30"/>
    </row>
    <row r="5" spans="1:9" ht="51" x14ac:dyDescent="0.2">
      <c r="A5" s="30"/>
      <c r="B5" s="30" t="s">
        <v>788</v>
      </c>
      <c r="C5" s="30" t="s">
        <v>789</v>
      </c>
      <c r="D5" s="30"/>
      <c r="E5" s="30" t="s">
        <v>686</v>
      </c>
      <c r="F5" s="30" t="s">
        <v>705</v>
      </c>
      <c r="G5" s="30"/>
      <c r="H5" s="30"/>
      <c r="I5" s="30"/>
    </row>
    <row r="6" spans="1:9" x14ac:dyDescent="0.2">
      <c r="A6" s="30"/>
      <c r="B6" s="30"/>
      <c r="C6" s="30"/>
      <c r="D6" s="30"/>
      <c r="E6" s="30"/>
      <c r="F6" s="30"/>
      <c r="G6" s="30"/>
      <c r="H6" s="30"/>
      <c r="I6" s="30"/>
    </row>
    <row r="7" spans="1:9" x14ac:dyDescent="0.2">
      <c r="A7" s="30"/>
      <c r="B7" s="30"/>
      <c r="C7" s="30"/>
      <c r="D7" s="30"/>
      <c r="E7" s="30"/>
      <c r="F7" s="30"/>
      <c r="G7" s="30"/>
      <c r="H7" s="30"/>
      <c r="I7" s="30"/>
    </row>
    <row r="8" spans="1:9" x14ac:dyDescent="0.2">
      <c r="A8" s="30"/>
      <c r="B8" s="30"/>
      <c r="C8" s="30"/>
      <c r="D8" s="30"/>
      <c r="E8" s="30"/>
      <c r="F8" s="30"/>
      <c r="G8" s="30"/>
      <c r="H8" s="30"/>
      <c r="I8" s="30"/>
    </row>
    <row r="9" spans="1:9" x14ac:dyDescent="0.2">
      <c r="A9" s="30"/>
      <c r="B9" s="30"/>
      <c r="C9" s="30"/>
      <c r="D9" s="30"/>
      <c r="E9" s="30"/>
      <c r="F9" s="30"/>
      <c r="G9" s="30"/>
      <c r="H9" s="30"/>
      <c r="I9" s="30"/>
    </row>
    <row r="10" spans="1:9" x14ac:dyDescent="0.2">
      <c r="A10" s="30"/>
      <c r="B10" s="30"/>
      <c r="C10" s="30"/>
      <c r="D10" s="30"/>
      <c r="E10" s="30"/>
      <c r="F10" s="30"/>
      <c r="G10" s="30"/>
      <c r="H10" s="30"/>
      <c r="I10" s="30"/>
    </row>
    <row r="11" spans="1:9" x14ac:dyDescent="0.2">
      <c r="A11" s="30"/>
      <c r="B11" s="30"/>
      <c r="C11" s="30"/>
      <c r="D11" s="30"/>
      <c r="E11" s="30"/>
      <c r="F11" s="30"/>
      <c r="G11" s="30"/>
      <c r="H11" s="30"/>
      <c r="I11" s="30"/>
    </row>
    <row r="12" spans="1:9" x14ac:dyDescent="0.2">
      <c r="A12" s="30"/>
      <c r="B12" s="30"/>
      <c r="C12" s="30"/>
      <c r="D12" s="30"/>
      <c r="E12" s="30"/>
      <c r="F12" s="30"/>
      <c r="G12" s="30"/>
      <c r="H12" s="30"/>
      <c r="I12" s="30"/>
    </row>
    <row r="13" spans="1:9" x14ac:dyDescent="0.2">
      <c r="A13" s="30"/>
      <c r="B13" s="30"/>
      <c r="C13" s="30"/>
      <c r="D13" s="30"/>
      <c r="E13" s="30"/>
      <c r="F13" s="30"/>
      <c r="G13" s="30"/>
      <c r="H13" s="30"/>
      <c r="I13" s="30"/>
    </row>
    <row r="14" spans="1:9" x14ac:dyDescent="0.2">
      <c r="A14" s="30"/>
      <c r="B14" s="30"/>
      <c r="C14" s="30"/>
      <c r="D14" s="30"/>
      <c r="E14" s="30"/>
      <c r="F14" s="30"/>
      <c r="G14" s="30"/>
      <c r="H14" s="30"/>
      <c r="I14" s="30"/>
    </row>
    <row r="15" spans="1:9" x14ac:dyDescent="0.2">
      <c r="A15" s="30"/>
      <c r="B15" s="30"/>
      <c r="C15" s="30"/>
      <c r="D15" s="30"/>
      <c r="E15" s="30"/>
      <c r="F15" s="30"/>
      <c r="G15" s="30"/>
      <c r="H15" s="30"/>
      <c r="I15" s="30"/>
    </row>
    <row r="16" spans="1:9" x14ac:dyDescent="0.2">
      <c r="A16" s="30"/>
      <c r="B16" s="30"/>
      <c r="C16" s="30"/>
      <c r="D16" s="30"/>
      <c r="E16" s="30"/>
      <c r="F16" s="30"/>
      <c r="G16" s="30"/>
      <c r="H16" s="30"/>
      <c r="I16" s="30"/>
    </row>
    <row r="17" spans="1:9" x14ac:dyDescent="0.2">
      <c r="A17" s="30"/>
      <c r="B17" s="30"/>
      <c r="C17" s="30"/>
      <c r="D17" s="30"/>
      <c r="E17" s="30"/>
      <c r="F17" s="30"/>
      <c r="G17" s="30"/>
      <c r="H17" s="30"/>
      <c r="I17" s="30"/>
    </row>
    <row r="18" spans="1:9" x14ac:dyDescent="0.2">
      <c r="A18" s="30"/>
      <c r="B18" s="30"/>
      <c r="C18" s="30"/>
      <c r="D18" s="30"/>
      <c r="E18" s="30"/>
      <c r="F18" s="30"/>
      <c r="G18" s="30"/>
      <c r="H18" s="30"/>
      <c r="I18" s="30"/>
    </row>
    <row r="19" spans="1:9" x14ac:dyDescent="0.2">
      <c r="A19" s="30"/>
      <c r="B19" s="30"/>
      <c r="C19" s="30"/>
      <c r="D19" s="30"/>
      <c r="E19" s="30"/>
      <c r="F19" s="30"/>
      <c r="G19" s="30"/>
      <c r="H19" s="30"/>
      <c r="I19" s="30"/>
    </row>
    <row r="20" spans="1:9" x14ac:dyDescent="0.2">
      <c r="A20" s="30"/>
      <c r="B20" s="30"/>
      <c r="C20" s="30"/>
      <c r="D20" s="30"/>
      <c r="E20" s="30"/>
      <c r="F20" s="30"/>
      <c r="G20" s="30"/>
      <c r="H20" s="30"/>
      <c r="I20" s="30"/>
    </row>
    <row r="21" spans="1:9" x14ac:dyDescent="0.2">
      <c r="A21" s="30"/>
      <c r="B21" s="30"/>
      <c r="C21" s="30"/>
      <c r="D21" s="30"/>
      <c r="E21" s="30"/>
      <c r="F21" s="30"/>
      <c r="G21" s="30"/>
      <c r="H21" s="30"/>
      <c r="I21" s="30"/>
    </row>
    <row r="22" spans="1:9" x14ac:dyDescent="0.2">
      <c r="A22" s="30"/>
      <c r="B22" s="30"/>
      <c r="C22" s="30"/>
      <c r="D22" s="30"/>
      <c r="E22" s="30"/>
      <c r="F22" s="30"/>
      <c r="G22" s="30"/>
      <c r="H22" s="30"/>
      <c r="I22" s="30"/>
    </row>
    <row r="23" spans="1:9" x14ac:dyDescent="0.2">
      <c r="A23" s="30"/>
      <c r="B23" s="30"/>
      <c r="C23" s="30"/>
      <c r="D23" s="30"/>
      <c r="E23" s="30"/>
      <c r="F23" s="30"/>
      <c r="G23" s="30"/>
      <c r="H23" s="30"/>
      <c r="I23" s="30"/>
    </row>
    <row r="24" spans="1:9" x14ac:dyDescent="0.2">
      <c r="A24" s="30"/>
      <c r="B24" s="30"/>
      <c r="C24" s="30"/>
      <c r="D24" s="30"/>
      <c r="E24" s="30"/>
      <c r="F24" s="30"/>
      <c r="G24" s="30"/>
      <c r="H24" s="30"/>
      <c r="I24" s="30"/>
    </row>
    <row r="25" spans="1:9" x14ac:dyDescent="0.2">
      <c r="A25" s="30"/>
      <c r="B25" s="30"/>
      <c r="C25" s="30"/>
      <c r="D25" s="30"/>
      <c r="E25" s="30"/>
      <c r="F25" s="30"/>
      <c r="G25" s="30"/>
      <c r="H25" s="30"/>
      <c r="I25" s="30"/>
    </row>
    <row r="26" spans="1:9" x14ac:dyDescent="0.2">
      <c r="A26" s="30"/>
      <c r="B26" s="30"/>
      <c r="C26" s="30"/>
      <c r="D26" s="30"/>
      <c r="E26" s="30"/>
      <c r="F26" s="30"/>
      <c r="G26" s="30"/>
      <c r="H26" s="30"/>
      <c r="I26" s="30"/>
    </row>
    <row r="27" spans="1:9" x14ac:dyDescent="0.2">
      <c r="A27" s="30"/>
      <c r="B27" s="30"/>
      <c r="C27" s="30"/>
      <c r="D27" s="30"/>
      <c r="E27" s="30"/>
      <c r="F27" s="30"/>
      <c r="G27" s="30"/>
      <c r="H27" s="30"/>
      <c r="I27" s="30"/>
    </row>
    <row r="28" spans="1:9" x14ac:dyDescent="0.2">
      <c r="A28" s="30"/>
      <c r="B28" s="30"/>
      <c r="C28" s="30"/>
      <c r="D28" s="30"/>
      <c r="E28" s="30"/>
      <c r="F28" s="30"/>
      <c r="G28" s="30"/>
      <c r="H28" s="30"/>
      <c r="I28" s="30"/>
    </row>
    <row r="29" spans="1:9" x14ac:dyDescent="0.2">
      <c r="A29" s="30"/>
      <c r="B29" s="30"/>
      <c r="C29" s="30"/>
      <c r="D29" s="30"/>
      <c r="E29" s="30"/>
      <c r="F29" s="30"/>
      <c r="G29" s="30"/>
      <c r="H29" s="30"/>
      <c r="I29" s="30"/>
    </row>
    <row r="30" spans="1:9" x14ac:dyDescent="0.2">
      <c r="A30" s="30"/>
      <c r="B30" s="30"/>
      <c r="C30" s="30"/>
      <c r="D30" s="30"/>
      <c r="E30" s="30"/>
      <c r="F30" s="30"/>
      <c r="G30" s="30"/>
      <c r="H30" s="30"/>
      <c r="I30" s="30"/>
    </row>
    <row r="31" spans="1:9" x14ac:dyDescent="0.2">
      <c r="A31" s="30"/>
      <c r="B31" s="30"/>
      <c r="C31" s="30"/>
      <c r="D31" s="30"/>
      <c r="E31" s="30"/>
      <c r="F31" s="30"/>
      <c r="G31" s="30"/>
      <c r="H31" s="30"/>
      <c r="I31" s="30"/>
    </row>
    <row r="32" spans="1:9" x14ac:dyDescent="0.2">
      <c r="A32" s="30"/>
      <c r="B32" s="30"/>
      <c r="C32" s="30"/>
      <c r="D32" s="30"/>
      <c r="E32" s="30"/>
      <c r="F32" s="30"/>
      <c r="G32" s="30"/>
      <c r="H32" s="30"/>
      <c r="I32" s="30"/>
    </row>
    <row r="33" spans="1:9" x14ac:dyDescent="0.2">
      <c r="A33" s="30"/>
      <c r="B33" s="30"/>
      <c r="C33" s="30"/>
      <c r="D33" s="30"/>
      <c r="E33" s="30"/>
      <c r="F33" s="30"/>
      <c r="G33" s="30"/>
      <c r="H33" s="30"/>
      <c r="I33" s="30"/>
    </row>
    <row r="34" spans="1:9" x14ac:dyDescent="0.2">
      <c r="A34" s="30"/>
      <c r="B34" s="30"/>
      <c r="C34" s="30"/>
      <c r="D34" s="30"/>
      <c r="E34" s="30"/>
      <c r="F34" s="30"/>
      <c r="G34" s="30"/>
      <c r="H34" s="30"/>
      <c r="I34" s="30"/>
    </row>
    <row r="35" spans="1:9" x14ac:dyDescent="0.2">
      <c r="A35" s="30"/>
      <c r="B35" s="30"/>
      <c r="C35" s="30"/>
      <c r="D35" s="30"/>
      <c r="E35" s="30"/>
      <c r="F35" s="30"/>
      <c r="G35" s="30"/>
      <c r="H35" s="30"/>
      <c r="I35" s="30"/>
    </row>
    <row r="36" spans="1:9" x14ac:dyDescent="0.2">
      <c r="A36" s="30"/>
      <c r="B36" s="30"/>
      <c r="C36" s="30"/>
      <c r="D36" s="30"/>
      <c r="E36" s="30"/>
      <c r="F36" s="30"/>
      <c r="G36" s="30"/>
      <c r="H36" s="30"/>
      <c r="I36" s="30"/>
    </row>
    <row r="37" spans="1:9" x14ac:dyDescent="0.2">
      <c r="A37" s="30"/>
      <c r="B37" s="30"/>
      <c r="C37" s="30"/>
      <c r="D37" s="30"/>
      <c r="E37" s="30"/>
      <c r="F37" s="30"/>
      <c r="G37" s="30"/>
      <c r="H37" s="30"/>
      <c r="I37" s="30"/>
    </row>
    <row r="38" spans="1:9" x14ac:dyDescent="0.2">
      <c r="A38" s="30"/>
      <c r="B38" s="30"/>
      <c r="C38" s="30"/>
      <c r="D38" s="30"/>
      <c r="E38" s="30"/>
      <c r="F38" s="30"/>
      <c r="G38" s="30"/>
      <c r="H38" s="30"/>
      <c r="I38" s="30"/>
    </row>
    <row r="39" spans="1:9" x14ac:dyDescent="0.2">
      <c r="A39" s="30"/>
      <c r="B39" s="30"/>
      <c r="C39" s="30"/>
      <c r="D39" s="30"/>
      <c r="E39" s="30"/>
      <c r="F39" s="30"/>
      <c r="G39" s="30"/>
      <c r="H39" s="30"/>
      <c r="I39" s="30"/>
    </row>
    <row r="40" spans="1:9" x14ac:dyDescent="0.2">
      <c r="A40" s="30"/>
      <c r="B40" s="30"/>
      <c r="C40" s="30"/>
      <c r="D40" s="30"/>
      <c r="E40" s="30"/>
      <c r="F40" s="30"/>
      <c r="G40" s="30"/>
      <c r="H40" s="30"/>
      <c r="I40" s="30"/>
    </row>
    <row r="41" spans="1:9" x14ac:dyDescent="0.2">
      <c r="A41" s="30"/>
      <c r="B41" s="30"/>
      <c r="C41" s="30"/>
      <c r="D41" s="30"/>
      <c r="E41" s="30"/>
      <c r="F41" s="30"/>
      <c r="G41" s="30"/>
      <c r="H41" s="30"/>
      <c r="I41" s="30"/>
    </row>
    <row r="42" spans="1:9" x14ac:dyDescent="0.2">
      <c r="A42" s="30"/>
      <c r="B42" s="30"/>
      <c r="C42" s="30"/>
      <c r="D42" s="30"/>
      <c r="E42" s="30"/>
      <c r="F42" s="30"/>
      <c r="G42" s="30"/>
      <c r="H42" s="30"/>
      <c r="I42" s="30"/>
    </row>
    <row r="43" spans="1:9" x14ac:dyDescent="0.2">
      <c r="A43" s="30"/>
      <c r="B43" s="30"/>
      <c r="C43" s="30"/>
      <c r="D43" s="30"/>
      <c r="E43" s="30"/>
      <c r="F43" s="30"/>
      <c r="G43" s="30"/>
      <c r="H43" s="30"/>
      <c r="I43" s="30"/>
    </row>
    <row r="44" spans="1:9" x14ac:dyDescent="0.2">
      <c r="A44" s="30"/>
      <c r="B44" s="30"/>
      <c r="C44" s="30"/>
      <c r="D44" s="30"/>
      <c r="E44" s="30"/>
      <c r="F44" s="30"/>
      <c r="G44" s="30"/>
      <c r="H44" s="30"/>
      <c r="I44" s="30"/>
    </row>
    <row r="45" spans="1:9" x14ac:dyDescent="0.2">
      <c r="A45" s="30"/>
      <c r="B45" s="30"/>
      <c r="C45" s="30"/>
      <c r="D45" s="30"/>
      <c r="E45" s="30"/>
      <c r="F45" s="30"/>
      <c r="G45" s="30"/>
      <c r="H45" s="30"/>
      <c r="I45" s="30"/>
    </row>
    <row r="46" spans="1:9" x14ac:dyDescent="0.2">
      <c r="A46" s="30"/>
      <c r="B46" s="30"/>
      <c r="C46" s="30"/>
      <c r="D46" s="30"/>
      <c r="E46" s="30"/>
      <c r="F46" s="30"/>
      <c r="G46" s="30"/>
      <c r="H46" s="30"/>
      <c r="I46" s="30"/>
    </row>
    <row r="47" spans="1:9" x14ac:dyDescent="0.2">
      <c r="A47" s="30"/>
      <c r="B47" s="30"/>
      <c r="C47" s="30"/>
      <c r="D47" s="30"/>
      <c r="E47" s="30"/>
      <c r="F47" s="30"/>
      <c r="G47" s="30"/>
      <c r="H47" s="30"/>
      <c r="I47" s="30"/>
    </row>
    <row r="48" spans="1:9" x14ac:dyDescent="0.2">
      <c r="A48" s="30"/>
      <c r="B48" s="30"/>
      <c r="C48" s="30"/>
      <c r="D48" s="30"/>
      <c r="E48" s="30"/>
      <c r="F48" s="30"/>
      <c r="G48" s="30"/>
      <c r="H48" s="30"/>
      <c r="I48" s="30"/>
    </row>
    <row r="49" spans="1:9" x14ac:dyDescent="0.2">
      <c r="A49" s="30"/>
      <c r="B49" s="30"/>
      <c r="C49" s="30"/>
      <c r="D49" s="30"/>
      <c r="E49" s="30"/>
      <c r="F49" s="30"/>
      <c r="G49" s="30"/>
      <c r="H49" s="30"/>
      <c r="I49" s="30"/>
    </row>
    <row r="50" spans="1:9" x14ac:dyDescent="0.2">
      <c r="A50" s="30"/>
      <c r="B50" s="30"/>
      <c r="C50" s="30"/>
      <c r="D50" s="30"/>
      <c r="E50" s="30"/>
      <c r="F50" s="30"/>
      <c r="G50" s="30"/>
      <c r="H50" s="30"/>
      <c r="I50" s="30"/>
    </row>
    <row r="51" spans="1:9" x14ac:dyDescent="0.2">
      <c r="A51" s="30"/>
      <c r="B51" s="30"/>
      <c r="C51" s="30"/>
      <c r="D51" s="30"/>
      <c r="E51" s="30"/>
      <c r="F51" s="30"/>
      <c r="G51" s="30"/>
      <c r="H51" s="30"/>
      <c r="I51" s="30"/>
    </row>
    <row r="52" spans="1:9" x14ac:dyDescent="0.2">
      <c r="A52" s="30"/>
      <c r="B52" s="30"/>
      <c r="C52" s="30"/>
      <c r="D52" s="30"/>
      <c r="E52" s="30"/>
      <c r="F52" s="30"/>
      <c r="G52" s="30"/>
      <c r="H52" s="30"/>
      <c r="I52" s="30"/>
    </row>
    <row r="53" spans="1:9" x14ac:dyDescent="0.2">
      <c r="A53" s="30"/>
      <c r="B53" s="30"/>
      <c r="C53" s="30"/>
      <c r="D53" s="30"/>
      <c r="E53" s="30"/>
      <c r="F53" s="30"/>
      <c r="G53" s="30"/>
      <c r="H53" s="30"/>
      <c r="I53" s="30"/>
    </row>
    <row r="54" spans="1:9" x14ac:dyDescent="0.2">
      <c r="A54" s="30"/>
      <c r="B54" s="30"/>
      <c r="C54" s="30"/>
      <c r="D54" s="30"/>
      <c r="E54" s="30"/>
      <c r="F54" s="30"/>
      <c r="G54" s="30"/>
      <c r="H54" s="30"/>
      <c r="I54" s="30"/>
    </row>
    <row r="55" spans="1:9" x14ac:dyDescent="0.2">
      <c r="A55" s="30"/>
      <c r="B55" s="30"/>
      <c r="C55" s="30"/>
      <c r="D55" s="30"/>
      <c r="E55" s="30"/>
      <c r="F55" s="30"/>
      <c r="G55" s="30"/>
      <c r="H55" s="30"/>
      <c r="I55" s="30"/>
    </row>
    <row r="56" spans="1:9" x14ac:dyDescent="0.2">
      <c r="A56" s="30"/>
      <c r="B56" s="30"/>
      <c r="C56" s="30"/>
      <c r="D56" s="30"/>
      <c r="E56" s="30"/>
      <c r="F56" s="30"/>
      <c r="G56" s="30"/>
      <c r="H56" s="30"/>
      <c r="I56" s="30"/>
    </row>
    <row r="57" spans="1:9" x14ac:dyDescent="0.2">
      <c r="A57" s="30"/>
      <c r="B57" s="30"/>
      <c r="C57" s="30"/>
      <c r="D57" s="30"/>
      <c r="E57" s="30"/>
      <c r="F57" s="30"/>
      <c r="G57" s="30"/>
      <c r="H57" s="30"/>
      <c r="I57" s="30"/>
    </row>
    <row r="58" spans="1:9" x14ac:dyDescent="0.2">
      <c r="A58" s="30"/>
      <c r="B58" s="30"/>
      <c r="C58" s="30"/>
      <c r="D58" s="30"/>
      <c r="E58" s="30"/>
      <c r="F58" s="30"/>
      <c r="G58" s="30"/>
      <c r="H58" s="30"/>
      <c r="I58" s="30"/>
    </row>
    <row r="59" spans="1:9" x14ac:dyDescent="0.2">
      <c r="A59" s="30"/>
      <c r="B59" s="30"/>
      <c r="C59" s="30"/>
      <c r="D59" s="30"/>
      <c r="E59" s="30"/>
      <c r="F59" s="30"/>
      <c r="G59" s="30"/>
      <c r="H59" s="30"/>
      <c r="I59" s="30"/>
    </row>
    <row r="60" spans="1:9" x14ac:dyDescent="0.2">
      <c r="A60" s="30"/>
      <c r="B60" s="30"/>
      <c r="C60" s="30"/>
      <c r="D60" s="30"/>
      <c r="E60" s="30"/>
      <c r="F60" s="30"/>
      <c r="G60" s="30"/>
      <c r="H60" s="30"/>
      <c r="I60" s="30"/>
    </row>
    <row r="61" spans="1:9" x14ac:dyDescent="0.2">
      <c r="A61" s="30"/>
      <c r="B61" s="30"/>
      <c r="C61" s="30"/>
      <c r="D61" s="30"/>
      <c r="E61" s="30"/>
      <c r="F61" s="30"/>
      <c r="G61" s="30"/>
      <c r="H61" s="30"/>
      <c r="I61" s="30"/>
    </row>
    <row r="62" spans="1:9" x14ac:dyDescent="0.2">
      <c r="A62" s="30"/>
      <c r="B62" s="30"/>
      <c r="C62" s="30"/>
      <c r="D62" s="30"/>
      <c r="E62" s="30"/>
      <c r="F62" s="30"/>
      <c r="G62" s="30"/>
      <c r="H62" s="30"/>
      <c r="I62" s="30"/>
    </row>
    <row r="63" spans="1:9" x14ac:dyDescent="0.2">
      <c r="A63" s="30"/>
      <c r="B63" s="30"/>
      <c r="C63" s="30"/>
      <c r="D63" s="30"/>
      <c r="E63" s="30"/>
      <c r="F63" s="30"/>
      <c r="G63" s="30"/>
      <c r="H63" s="30"/>
      <c r="I63" s="30"/>
    </row>
    <row r="64" spans="1:9" x14ac:dyDescent="0.2">
      <c r="A64" s="30"/>
      <c r="B64" s="30"/>
      <c r="C64" s="30"/>
      <c r="D64" s="30"/>
      <c r="E64" s="30"/>
      <c r="F64" s="30"/>
      <c r="G64" s="30"/>
      <c r="H64" s="30"/>
      <c r="I64" s="30"/>
    </row>
    <row r="65" spans="1:9" x14ac:dyDescent="0.2">
      <c r="A65" s="30"/>
      <c r="B65" s="30"/>
      <c r="C65" s="30"/>
      <c r="D65" s="30"/>
      <c r="E65" s="30"/>
      <c r="F65" s="30"/>
      <c r="G65" s="30"/>
      <c r="H65" s="30"/>
      <c r="I65" s="30"/>
    </row>
    <row r="66" spans="1:9" x14ac:dyDescent="0.2">
      <c r="A66" s="30"/>
      <c r="B66" s="30"/>
      <c r="C66" s="30"/>
      <c r="D66" s="30"/>
      <c r="E66" s="30"/>
      <c r="F66" s="30"/>
      <c r="G66" s="30"/>
      <c r="H66" s="30"/>
      <c r="I66" s="30"/>
    </row>
    <row r="67" spans="1:9" x14ac:dyDescent="0.2">
      <c r="A67" s="30"/>
      <c r="B67" s="30"/>
      <c r="C67" s="30"/>
      <c r="D67" s="30"/>
      <c r="E67" s="30"/>
      <c r="F67" s="30"/>
      <c r="G67" s="30"/>
      <c r="H67" s="30"/>
      <c r="I67" s="30"/>
    </row>
    <row r="68" spans="1:9" x14ac:dyDescent="0.2">
      <c r="A68" s="30"/>
      <c r="B68" s="30"/>
      <c r="C68" s="30"/>
      <c r="D68" s="30"/>
      <c r="E68" s="30"/>
      <c r="F68" s="30"/>
      <c r="G68" s="30"/>
      <c r="H68" s="30"/>
      <c r="I68" s="30"/>
    </row>
    <row r="69" spans="1:9" x14ac:dyDescent="0.2">
      <c r="A69" s="30"/>
      <c r="B69" s="30"/>
      <c r="C69" s="30"/>
      <c r="D69" s="30"/>
      <c r="E69" s="30"/>
      <c r="F69" s="30"/>
      <c r="G69" s="30"/>
      <c r="H69" s="30"/>
      <c r="I69" s="30"/>
    </row>
    <row r="70" spans="1:9" x14ac:dyDescent="0.2">
      <c r="A70" s="30"/>
      <c r="B70" s="30"/>
      <c r="C70" s="30"/>
      <c r="D70" s="30"/>
      <c r="E70" s="30"/>
      <c r="F70" s="30"/>
      <c r="G70" s="30"/>
      <c r="H70" s="30"/>
      <c r="I70" s="30"/>
    </row>
    <row r="71" spans="1:9" x14ac:dyDescent="0.2">
      <c r="A71" s="30"/>
      <c r="B71" s="30"/>
      <c r="C71" s="30"/>
      <c r="D71" s="30"/>
      <c r="E71" s="30"/>
      <c r="F71" s="30"/>
      <c r="G71" s="30"/>
      <c r="H71" s="30"/>
      <c r="I71" s="30"/>
    </row>
    <row r="72" spans="1:9" x14ac:dyDescent="0.2">
      <c r="A72" s="30"/>
      <c r="B72" s="30"/>
      <c r="C72" s="30"/>
      <c r="D72" s="30"/>
      <c r="E72" s="30"/>
      <c r="F72" s="30"/>
      <c r="G72" s="30"/>
      <c r="H72" s="30"/>
      <c r="I72" s="30"/>
    </row>
    <row r="73" spans="1:9" x14ac:dyDescent="0.2">
      <c r="A73" s="30"/>
      <c r="B73" s="30"/>
      <c r="C73" s="30"/>
      <c r="D73" s="30"/>
      <c r="E73" s="30"/>
      <c r="F73" s="30"/>
      <c r="G73" s="30"/>
      <c r="H73" s="30"/>
      <c r="I73" s="30"/>
    </row>
    <row r="74" spans="1:9" x14ac:dyDescent="0.2">
      <c r="A74" s="30"/>
      <c r="B74" s="30"/>
      <c r="C74" s="30"/>
      <c r="D74" s="30"/>
      <c r="E74" s="30"/>
      <c r="F74" s="30"/>
      <c r="G74" s="30"/>
      <c r="H74" s="30"/>
      <c r="I74" s="30"/>
    </row>
    <row r="75" spans="1:9" x14ac:dyDescent="0.2">
      <c r="A75" s="30"/>
      <c r="B75" s="30"/>
      <c r="C75" s="30"/>
      <c r="D75" s="30"/>
      <c r="E75" s="30"/>
      <c r="F75" s="30"/>
      <c r="G75" s="30"/>
      <c r="H75" s="30"/>
      <c r="I75" s="30"/>
    </row>
    <row r="76" spans="1:9" x14ac:dyDescent="0.2">
      <c r="A76" s="30"/>
      <c r="B76" s="30"/>
      <c r="C76" s="30"/>
      <c r="D76" s="30"/>
      <c r="E76" s="30"/>
      <c r="F76" s="30"/>
      <c r="G76" s="30"/>
      <c r="H76" s="30"/>
      <c r="I76" s="30"/>
    </row>
    <row r="77" spans="1:9" x14ac:dyDescent="0.2">
      <c r="A77" s="30"/>
      <c r="B77" s="30"/>
      <c r="C77" s="30"/>
      <c r="D77" s="30"/>
      <c r="E77" s="30"/>
      <c r="F77" s="30"/>
      <c r="G77" s="30"/>
      <c r="H77" s="30"/>
      <c r="I77" s="30"/>
    </row>
    <row r="78" spans="1:9" x14ac:dyDescent="0.2">
      <c r="A78" s="30"/>
      <c r="B78" s="30"/>
      <c r="C78" s="30"/>
      <c r="D78" s="30"/>
      <c r="E78" s="30"/>
      <c r="F78" s="30"/>
      <c r="G78" s="30"/>
      <c r="H78" s="30"/>
      <c r="I78" s="30"/>
    </row>
    <row r="79" spans="1:9" x14ac:dyDescent="0.2">
      <c r="A79" s="30"/>
      <c r="B79" s="30"/>
      <c r="C79" s="30"/>
      <c r="D79" s="30"/>
      <c r="E79" s="30"/>
      <c r="F79" s="30"/>
      <c r="G79" s="30"/>
      <c r="H79" s="30"/>
      <c r="I79" s="30"/>
    </row>
    <row r="80" spans="1:9" x14ac:dyDescent="0.2">
      <c r="A80" s="30"/>
      <c r="B80" s="30"/>
      <c r="C80" s="30"/>
      <c r="D80" s="30"/>
      <c r="E80" s="30"/>
      <c r="F80" s="30"/>
      <c r="G80" s="30"/>
      <c r="H80" s="30"/>
      <c r="I80" s="30"/>
    </row>
    <row r="81" spans="1:9" x14ac:dyDescent="0.2">
      <c r="A81" s="30"/>
      <c r="B81" s="30"/>
      <c r="C81" s="30"/>
      <c r="D81" s="30"/>
      <c r="E81" s="30"/>
      <c r="F81" s="30"/>
      <c r="G81" s="30"/>
      <c r="H81" s="30"/>
      <c r="I81" s="30"/>
    </row>
    <row r="82" spans="1:9" x14ac:dyDescent="0.2">
      <c r="A82" s="30"/>
      <c r="B82" s="30"/>
      <c r="C82" s="30"/>
      <c r="D82" s="30"/>
      <c r="E82" s="30"/>
      <c r="F82" s="30"/>
      <c r="G82" s="30"/>
      <c r="H82" s="30"/>
      <c r="I82" s="30"/>
    </row>
    <row r="83" spans="1:9" x14ac:dyDescent="0.2">
      <c r="A83" s="30"/>
      <c r="B83" s="30"/>
      <c r="C83" s="30"/>
      <c r="D83" s="30"/>
      <c r="E83" s="30"/>
      <c r="F83" s="30"/>
      <c r="G83" s="30"/>
      <c r="H83" s="30"/>
      <c r="I83" s="30"/>
    </row>
    <row r="84" spans="1:9" x14ac:dyDescent="0.2">
      <c r="A84" s="30"/>
      <c r="B84" s="30"/>
      <c r="C84" s="30"/>
      <c r="D84" s="30"/>
      <c r="E84" s="30"/>
      <c r="F84" s="30"/>
      <c r="G84" s="30"/>
      <c r="H84" s="30"/>
      <c r="I84" s="30"/>
    </row>
    <row r="85" spans="1:9" x14ac:dyDescent="0.2">
      <c r="A85" s="30"/>
      <c r="B85" s="30"/>
      <c r="C85" s="30"/>
      <c r="D85" s="30"/>
      <c r="E85" s="30"/>
      <c r="F85" s="30"/>
      <c r="G85" s="30"/>
      <c r="H85" s="30"/>
      <c r="I85" s="30"/>
    </row>
    <row r="86" spans="1:9" x14ac:dyDescent="0.2">
      <c r="A86" s="30"/>
      <c r="B86" s="30"/>
      <c r="C86" s="30"/>
      <c r="D86" s="30"/>
      <c r="E86" s="30"/>
      <c r="F86" s="30"/>
      <c r="G86" s="30"/>
      <c r="H86" s="30"/>
      <c r="I86" s="30"/>
    </row>
    <row r="87" spans="1:9" x14ac:dyDescent="0.2">
      <c r="A87" s="30"/>
      <c r="B87" s="30"/>
      <c r="C87" s="30"/>
      <c r="D87" s="30"/>
      <c r="E87" s="30"/>
      <c r="F87" s="30"/>
      <c r="G87" s="30"/>
      <c r="H87" s="30"/>
      <c r="I87" s="30"/>
    </row>
    <row r="88" spans="1:9" x14ac:dyDescent="0.2">
      <c r="A88" s="30"/>
      <c r="B88" s="30"/>
      <c r="C88" s="30"/>
      <c r="D88" s="30"/>
      <c r="E88" s="30"/>
      <c r="F88" s="30"/>
      <c r="G88" s="30"/>
      <c r="H88" s="30"/>
      <c r="I88" s="30"/>
    </row>
    <row r="89" spans="1:9" x14ac:dyDescent="0.2">
      <c r="A89" s="30"/>
      <c r="B89" s="30"/>
      <c r="C89" s="30"/>
      <c r="D89" s="30"/>
      <c r="E89" s="30"/>
      <c r="F89" s="30"/>
      <c r="G89" s="30"/>
      <c r="H89" s="30"/>
      <c r="I89" s="30"/>
    </row>
    <row r="90" spans="1:9" x14ac:dyDescent="0.2">
      <c r="A90" s="30"/>
      <c r="B90" s="30"/>
      <c r="C90" s="30"/>
      <c r="D90" s="30"/>
      <c r="E90" s="30"/>
      <c r="F90" s="30"/>
      <c r="G90" s="30"/>
      <c r="H90" s="30"/>
      <c r="I90" s="30"/>
    </row>
    <row r="91" spans="1:9" x14ac:dyDescent="0.2">
      <c r="A91" s="30"/>
      <c r="B91" s="30"/>
      <c r="C91" s="30"/>
      <c r="D91" s="30"/>
      <c r="E91" s="30"/>
      <c r="F91" s="30"/>
      <c r="G91" s="30"/>
      <c r="H91" s="30"/>
      <c r="I91" s="30"/>
    </row>
    <row r="92" spans="1:9" x14ac:dyDescent="0.2">
      <c r="A92" s="30"/>
      <c r="B92" s="30"/>
      <c r="C92" s="30"/>
      <c r="D92" s="30"/>
      <c r="E92" s="30"/>
      <c r="F92" s="30"/>
      <c r="G92" s="30"/>
      <c r="H92" s="30"/>
      <c r="I92" s="30"/>
    </row>
    <row r="93" spans="1:9" x14ac:dyDescent="0.2">
      <c r="A93" s="30"/>
      <c r="B93" s="30"/>
      <c r="C93" s="30"/>
      <c r="D93" s="30"/>
      <c r="E93" s="30"/>
      <c r="F93" s="30"/>
      <c r="G93" s="30"/>
      <c r="H93" s="30"/>
      <c r="I93" s="30"/>
    </row>
    <row r="94" spans="1:9" x14ac:dyDescent="0.2">
      <c r="A94" s="30"/>
      <c r="B94" s="30"/>
      <c r="C94" s="30"/>
      <c r="D94" s="30"/>
      <c r="E94" s="30"/>
      <c r="F94" s="30"/>
      <c r="G94" s="30"/>
      <c r="H94" s="30"/>
      <c r="I94" s="30"/>
    </row>
    <row r="95" spans="1:9" x14ac:dyDescent="0.2">
      <c r="A95" s="30"/>
      <c r="B95" s="30"/>
      <c r="C95" s="30"/>
      <c r="D95" s="30"/>
      <c r="E95" s="30"/>
      <c r="F95" s="30"/>
      <c r="G95" s="30"/>
      <c r="H95" s="30"/>
      <c r="I95" s="30"/>
    </row>
  </sheetData>
  <sheetProtection sheet="1" objects="1" scenarios="1" formatColumns="0" formatRows="0" insertRows="0" deleteRows="0"/>
  <dataConsolidate/>
  <conditionalFormatting sqref="C2:C100">
    <cfRule type="expression" dxfId="126" priority="14" stopIfTrue="1">
      <formula>AND(ISBLANK(C2), COUNTA(A2:I2))</formula>
    </cfRule>
  </conditionalFormatting>
  <conditionalFormatting sqref="D2:D100">
    <cfRule type="expression" dxfId="125" priority="13" stopIfTrue="1">
      <formula>AND(NOT(ISBLANK(D2)), COUNTIF(publiRefs,A2)=0)</formula>
    </cfRule>
  </conditionalFormatting>
  <conditionalFormatting sqref="A2:A100">
    <cfRule type="expression" dxfId="124" priority="17" stopIfTrue="1">
      <formula>AND(NOT(ISBLANK(A2)), COUNTIF(publiRefs,A2)=0)</formula>
    </cfRule>
    <cfRule type="expression" dxfId="123" priority="18" stopIfTrue="1">
      <formula>AND(ISBLANK(A2), COUNTA(A2:I2))</formula>
    </cfRule>
  </conditionalFormatting>
  <conditionalFormatting sqref="B2:B100">
    <cfRule type="expression" dxfId="122" priority="15" stopIfTrue="1">
      <formula>AND(NOT(ISBLANK(B2)), COUNTIF(ingredientsRefs,B2)=0)</formula>
    </cfRule>
    <cfRule type="expression" dxfId="121" priority="16" stopIfTrue="1">
      <formula>AND(ISBLANK(B2), COUNTA(A2:I2))</formula>
    </cfRule>
  </conditionalFormatting>
  <conditionalFormatting sqref="E2:E100">
    <cfRule type="expression" dxfId="120" priority="11" stopIfTrue="1">
      <formula>AND(NOT(ISBLANK(E2)), COUNTIF(treatmentTypeList,E2)=0)</formula>
    </cfRule>
    <cfRule type="expression" dxfId="119" priority="12" stopIfTrue="1">
      <formula>AND(ISBLANK(E2), COUNTA(A2:I2))</formula>
    </cfRule>
  </conditionalFormatting>
  <conditionalFormatting sqref="F2:F100">
    <cfRule type="expression" dxfId="118" priority="9" stopIfTrue="1">
      <formula>AND(NOT(ISBLANK(F2)), COUNTIF(yesNo,F2)=0)</formula>
    </cfRule>
    <cfRule type="expression" dxfId="117" priority="10" stopIfTrue="1">
      <formula>AND(ISBLANK(F2), COUNTA(A2:I2))</formula>
    </cfRule>
  </conditionalFormatting>
  <conditionalFormatting sqref="G2:G100">
    <cfRule type="expression" dxfId="116" priority="7" stopIfTrue="1">
      <formula>AND(F2&lt;&gt;INDEX(yesNo,1), NOT(ISBLANK(G2)))</formula>
    </cfRule>
    <cfRule type="expression" dxfId="115" priority="8" stopIfTrue="1">
      <formula>AND(F2&lt;&gt;INDEX(yesNo,1), COUNTA(A2:I2))</formula>
    </cfRule>
  </conditionalFormatting>
  <conditionalFormatting sqref="H2:H100">
    <cfRule type="expression" dxfId="114" priority="4" stopIfTrue="1">
      <formula>AND(NOT(ISBLANK(H2)), COUNTIF(preparationModeList,H2)=0)</formula>
    </cfRule>
    <cfRule type="expression" dxfId="113" priority="5" stopIfTrue="1">
      <formula>AND(F2&lt;&gt;INDEX(yesNo,1), NOT(ISBLANK(H2)))</formula>
    </cfRule>
    <cfRule type="expression" dxfId="112" priority="6" stopIfTrue="1">
      <formula>AND(F2&lt;&gt;INDEX(yesNo,1), COUNTA(A2:I2))</formula>
    </cfRule>
  </conditionalFormatting>
  <conditionalFormatting sqref="I2:I100">
    <cfRule type="expression" dxfId="111" priority="1" stopIfTrue="1">
      <formula>AND(NOT(ISBLANK(I2)), COUNTIF(preparationModeList,I2)=0)</formula>
    </cfRule>
    <cfRule type="expression" dxfId="110" priority="2" stopIfTrue="1">
      <formula>AND(F2&lt;&gt;INDEX(yesNo,1), NOT(ISBLANK(I2)))</formula>
    </cfRule>
    <cfRule type="expression" dxfId="109" priority="3" stopIfTrue="1">
      <formula>AND(F2&lt;&gt;INDEX(yesNo,1), COUNTA(A2:I2))</formula>
    </cfRule>
  </conditionalFormatting>
  <dataValidations xWindow="868" yWindow="249" count="8">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s) used" error="Only the values in the list are valids." promptTitle="Plant ingredient(s) used" prompt="Select a combinaison of plant ingredients by clicking on the dropdown arrow." sqref="B2:B100">
      <formula1>ingredientsRefs</formula1>
    </dataValidation>
    <dataValidation type="list" errorStyle="warning" allowBlank="1" showInputMessage="1" showErrorMessage="1" errorTitle="Error: Reference" error="Only the values in the list are valids." promptTitle="Reference" prompt="Select a publication which have been entered before in '1 - Publi' sheet. If the publication doesn't not appear, please enter it in the corresponding sheet." sqref="D2:D100">
      <formula1>publiRefs</formula1>
    </dataValidation>
    <dataValidation type="list" errorStyle="warning" allowBlank="1" showInputMessage="1" showErrorMessage="1" errorTitle="Error: Treatment type" error="Only the values in the list are valids." promptTitle="Treatment type" prompt="Select a treatment by clicking on the dropdown arrow." sqref="E2:E100">
      <formula1>treatmentTypeList</formula1>
    </dataValidation>
    <dataValidation type="list" errorStyle="warning" allowBlank="1" showInputMessage="1" showErrorMessage="1" errorTitle="Error: Traditional recipe" error="Only 'Yes' or 'No' are valids." promptTitle="Traditional recipe" prompt="Select 'Yes' or 'No' by clicking on the dropdown arrow." sqref="F2:F100">
      <formula1>yesNo</formula1>
    </dataValidation>
    <dataValidation type="custom" errorStyle="warning" allowBlank="1" showInputMessage="1" showErrorMessage="1" errorTitle="Error: Trad. recipe details" error="No value accepted when the Traditional recipe is not 'Yes'." promptTitle="Trad. recipe details" prompt="Only if Traditional recipe are 'Yes'." sqref="G2:G100">
      <formula1>F2="Yes"</formula1>
    </dataValidation>
    <dataValidation type="list" errorStyle="warning" allowBlank="1" showInputMessage="1" showErrorMessage="1" errorTitle="Error: Preparation mode" error="Only the values in the list are valids." promptTitle="Preparation mode" prompt="Only if Traditional recipe is 'Yes'._x000a__x000a_Select a mode by clicking on the dropdown arrow." sqref="H2:H100">
      <formula1>preparationModeList</formula1>
    </dataValidation>
    <dataValidation type="list" errorStyle="warning" allowBlank="1" showInputMessage="1" showErrorMessage="1" errorTitle="Error: Administration route" error="Only the values in the list are valids." promptTitle="Administration route" prompt="Only if Traditional recipe is 'Yes'._x000a__x000a_Select a route by clicking on the dropdown arrow." sqref="I2:I100">
      <formula1>administrationRouteList</formula1>
    </dataValidation>
  </dataValidation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Roman,Normal"&amp;A</oddHeader>
    <oddFooter>&amp;C&amp;"Times New Roman,Normal"Page &amp;P</oddFoot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100"/>
  <sheetViews>
    <sheetView topLeftCell="E1" zoomScale="115" zoomScaleNormal="115" workbookViewId="0">
      <selection activeCell="B5" sqref="B5"/>
    </sheetView>
  </sheetViews>
  <sheetFormatPr defaultColWidth="10.5703125" defaultRowHeight="12.75" x14ac:dyDescent="0.2"/>
  <cols>
    <col min="1" max="1" width="65" style="32" customWidth="1"/>
    <col min="2" max="2" width="59.7109375" style="32" customWidth="1"/>
    <col min="3" max="5" width="13.140625" style="36" customWidth="1"/>
    <col min="6" max="6" width="17.5703125" style="36" customWidth="1"/>
    <col min="7" max="7" width="14.7109375" style="36" customWidth="1"/>
    <col min="8" max="8" width="18.140625" style="36" customWidth="1"/>
    <col min="9" max="9" width="19.42578125" style="36" customWidth="1"/>
    <col min="10" max="10" width="12.28515625" style="36" customWidth="1"/>
    <col min="11" max="11" width="11.7109375" style="32" customWidth="1"/>
    <col min="12" max="12" width="9.7109375" style="32" customWidth="1"/>
    <col min="13" max="13" width="15.28515625" style="32" customWidth="1"/>
    <col min="14" max="14" width="17.42578125" style="32" customWidth="1"/>
    <col min="15" max="15" width="11.140625" style="45" customWidth="1"/>
    <col min="16" max="16" width="14.5703125" style="32" customWidth="1"/>
    <col min="17" max="17" width="8.5703125" style="32" customWidth="1"/>
    <col min="18" max="18" width="17.5703125" style="32" customWidth="1"/>
    <col min="19" max="19" width="52.85546875" style="32" customWidth="1"/>
    <col min="20" max="20" width="48.7109375" style="27" customWidth="1"/>
    <col min="21" max="21" width="39.7109375" style="26" customWidth="1"/>
    <col min="22" max="22" width="45.28515625" style="27" customWidth="1"/>
    <col min="23" max="23" width="10.5703125" style="26"/>
    <col min="24" max="24" width="17.140625" style="27" customWidth="1"/>
    <col min="25" max="16384" width="10.5703125" style="10"/>
  </cols>
  <sheetData>
    <row r="1" spans="1:24" ht="45.75" customHeight="1" x14ac:dyDescent="0.2">
      <c r="A1" s="43" t="s">
        <v>620</v>
      </c>
      <c r="B1" s="43" t="s">
        <v>613</v>
      </c>
      <c r="C1" s="43" t="s">
        <v>579</v>
      </c>
      <c r="D1" s="43" t="s">
        <v>615</v>
      </c>
      <c r="E1" s="43" t="s">
        <v>614</v>
      </c>
      <c r="F1" s="43" t="s">
        <v>567</v>
      </c>
      <c r="G1" s="43" t="s">
        <v>581</v>
      </c>
      <c r="H1" s="43" t="s">
        <v>580</v>
      </c>
      <c r="I1" s="43" t="s">
        <v>576</v>
      </c>
      <c r="J1" s="43" t="s">
        <v>10</v>
      </c>
      <c r="K1" s="43" t="s">
        <v>582</v>
      </c>
      <c r="L1" s="43" t="s">
        <v>560</v>
      </c>
      <c r="M1" s="43" t="s">
        <v>561</v>
      </c>
      <c r="N1" s="43" t="s">
        <v>616</v>
      </c>
      <c r="O1" s="43" t="s">
        <v>562</v>
      </c>
      <c r="P1" s="43" t="s">
        <v>563</v>
      </c>
      <c r="Q1" s="43" t="s">
        <v>559</v>
      </c>
      <c r="R1" s="43" t="s">
        <v>554</v>
      </c>
      <c r="S1" s="43" t="s">
        <v>610</v>
      </c>
      <c r="T1" s="10"/>
      <c r="U1" s="10"/>
      <c r="V1" s="10"/>
      <c r="W1" s="10"/>
      <c r="X1" s="10"/>
    </row>
    <row r="2" spans="1:24" ht="38.25" x14ac:dyDescent="0.2">
      <c r="A2" s="4" t="s">
        <v>719</v>
      </c>
      <c r="B2" s="4" t="s">
        <v>782</v>
      </c>
      <c r="C2" s="20" t="s">
        <v>673</v>
      </c>
      <c r="D2" s="20" t="s">
        <v>678</v>
      </c>
      <c r="E2" s="20"/>
      <c r="F2" s="20"/>
      <c r="G2" s="4" t="s">
        <v>628</v>
      </c>
      <c r="H2" s="22" t="s">
        <v>790</v>
      </c>
      <c r="I2" s="22" t="s">
        <v>791</v>
      </c>
      <c r="J2" s="22" t="s">
        <v>792</v>
      </c>
      <c r="K2" s="23" t="s">
        <v>793</v>
      </c>
      <c r="L2" s="21">
        <v>400</v>
      </c>
      <c r="M2" s="14"/>
      <c r="N2" s="13"/>
      <c r="O2" s="48"/>
      <c r="P2" s="21"/>
      <c r="Q2" s="20"/>
      <c r="R2" s="22"/>
      <c r="S2" s="22"/>
      <c r="T2" s="10"/>
      <c r="U2" s="10"/>
      <c r="V2" s="10"/>
      <c r="W2" s="10"/>
      <c r="X2" s="10"/>
    </row>
    <row r="3" spans="1:24" ht="25.5" x14ac:dyDescent="0.2">
      <c r="A3" s="4" t="s">
        <v>734</v>
      </c>
      <c r="B3" s="4" t="s">
        <v>784</v>
      </c>
      <c r="C3" s="20" t="s">
        <v>674</v>
      </c>
      <c r="D3" s="20" t="s">
        <v>676</v>
      </c>
      <c r="E3" s="20"/>
      <c r="F3" s="20"/>
      <c r="G3" s="4" t="s">
        <v>625</v>
      </c>
      <c r="H3" s="13" t="s">
        <v>790</v>
      </c>
      <c r="I3" s="13"/>
      <c r="J3" s="11" t="s">
        <v>792</v>
      </c>
      <c r="K3" s="24" t="s">
        <v>634</v>
      </c>
      <c r="L3" s="21">
        <v>500</v>
      </c>
      <c r="M3" s="14">
        <v>87</v>
      </c>
      <c r="N3" s="13"/>
      <c r="O3" s="47"/>
      <c r="P3" s="13"/>
      <c r="Q3" s="4"/>
      <c r="R3" s="11"/>
      <c r="S3" s="22"/>
      <c r="T3" s="10"/>
      <c r="U3" s="10"/>
      <c r="V3" s="10"/>
      <c r="W3" s="10"/>
      <c r="X3" s="10"/>
    </row>
    <row r="4" spans="1:24" ht="25.5" x14ac:dyDescent="0.2">
      <c r="A4" s="4" t="s">
        <v>734</v>
      </c>
      <c r="B4" s="4" t="s">
        <v>784</v>
      </c>
      <c r="C4" s="4" t="s">
        <v>674</v>
      </c>
      <c r="D4" s="4" t="s">
        <v>680</v>
      </c>
      <c r="E4" s="4"/>
      <c r="F4" s="4"/>
      <c r="G4" s="4" t="s">
        <v>627</v>
      </c>
      <c r="H4" s="13" t="s">
        <v>794</v>
      </c>
      <c r="I4" s="13"/>
      <c r="J4" s="11" t="s">
        <v>792</v>
      </c>
      <c r="K4" s="13" t="s">
        <v>634</v>
      </c>
      <c r="L4" s="13">
        <v>500</v>
      </c>
      <c r="M4" s="14">
        <v>96</v>
      </c>
      <c r="N4" s="13"/>
      <c r="O4" s="47"/>
      <c r="P4" s="13"/>
      <c r="Q4" s="4"/>
      <c r="R4" s="12"/>
      <c r="S4" s="12"/>
      <c r="T4" s="10"/>
      <c r="U4" s="10"/>
      <c r="V4" s="10"/>
      <c r="W4" s="10"/>
      <c r="X4" s="10"/>
    </row>
    <row r="5" spans="1:24" ht="25.5" x14ac:dyDescent="0.2">
      <c r="A5" s="4" t="s">
        <v>734</v>
      </c>
      <c r="B5" s="4" t="s">
        <v>784</v>
      </c>
      <c r="C5" s="4" t="s">
        <v>673</v>
      </c>
      <c r="D5" s="4" t="s">
        <v>678</v>
      </c>
      <c r="E5" s="4"/>
      <c r="F5" s="4"/>
      <c r="G5" s="4"/>
      <c r="H5" s="13"/>
      <c r="I5" s="13"/>
      <c r="J5" s="13"/>
      <c r="K5" s="13"/>
      <c r="L5" s="13"/>
      <c r="M5" s="14"/>
      <c r="N5" s="13"/>
      <c r="O5" s="47">
        <v>15.83</v>
      </c>
      <c r="P5" s="13"/>
      <c r="Q5" s="4"/>
      <c r="R5" s="12"/>
      <c r="S5" s="12" t="s">
        <v>795</v>
      </c>
      <c r="T5" s="10"/>
      <c r="U5" s="10"/>
      <c r="V5" s="10"/>
      <c r="W5" s="10"/>
      <c r="X5" s="10"/>
    </row>
    <row r="6" spans="1:24" x14ac:dyDescent="0.2">
      <c r="A6" s="13"/>
      <c r="B6" s="13" t="s">
        <v>786</v>
      </c>
      <c r="C6" s="13" t="s">
        <v>673</v>
      </c>
      <c r="D6" s="13" t="s">
        <v>680</v>
      </c>
      <c r="E6" s="13"/>
      <c r="F6" s="13"/>
      <c r="G6" s="13" t="s">
        <v>625</v>
      </c>
      <c r="H6" s="13" t="s">
        <v>794</v>
      </c>
      <c r="I6" s="13" t="s">
        <v>796</v>
      </c>
      <c r="J6" s="13" t="s">
        <v>792</v>
      </c>
      <c r="K6" s="13" t="s">
        <v>634</v>
      </c>
      <c r="L6" s="13">
        <v>400</v>
      </c>
      <c r="M6" s="14">
        <v>86</v>
      </c>
      <c r="N6" s="13"/>
      <c r="O6" s="47"/>
      <c r="P6" s="13"/>
      <c r="Q6" s="13"/>
      <c r="R6" s="13"/>
      <c r="S6" s="13"/>
      <c r="T6" s="10"/>
      <c r="U6" s="10"/>
      <c r="V6" s="10"/>
      <c r="W6" s="10"/>
      <c r="X6" s="10"/>
    </row>
    <row r="7" spans="1:24" ht="51" x14ac:dyDescent="0.2">
      <c r="A7" s="13"/>
      <c r="B7" s="13" t="s">
        <v>786</v>
      </c>
      <c r="C7" s="13" t="s">
        <v>673</v>
      </c>
      <c r="D7" s="13" t="s">
        <v>680</v>
      </c>
      <c r="E7" s="13"/>
      <c r="F7" s="13"/>
      <c r="G7" s="13" t="s">
        <v>626</v>
      </c>
      <c r="H7" s="13" t="s">
        <v>794</v>
      </c>
      <c r="I7" s="13" t="s">
        <v>796</v>
      </c>
      <c r="J7" s="13" t="s">
        <v>792</v>
      </c>
      <c r="K7" s="13" t="s">
        <v>634</v>
      </c>
      <c r="L7" s="13">
        <v>400</v>
      </c>
      <c r="M7" s="14"/>
      <c r="N7" s="13"/>
      <c r="O7" s="47">
        <v>27.17</v>
      </c>
      <c r="P7" s="13"/>
      <c r="Q7" s="13" t="s">
        <v>704</v>
      </c>
      <c r="R7" s="13">
        <v>5000</v>
      </c>
      <c r="S7" s="13" t="s">
        <v>797</v>
      </c>
      <c r="T7" s="10"/>
      <c r="U7" s="10"/>
      <c r="V7" s="10"/>
      <c r="W7" s="10"/>
      <c r="X7" s="10"/>
    </row>
    <row r="8" spans="1:24" x14ac:dyDescent="0.2">
      <c r="A8" s="13"/>
      <c r="B8" s="13" t="s">
        <v>788</v>
      </c>
      <c r="C8" s="13" t="s">
        <v>673</v>
      </c>
      <c r="D8" s="13" t="s">
        <v>678</v>
      </c>
      <c r="E8" s="13"/>
      <c r="F8" s="13"/>
      <c r="G8" s="13" t="s">
        <v>625</v>
      </c>
      <c r="H8" s="13" t="s">
        <v>794</v>
      </c>
      <c r="I8" s="13" t="s">
        <v>798</v>
      </c>
      <c r="J8" s="13" t="s">
        <v>792</v>
      </c>
      <c r="K8" s="13" t="s">
        <v>634</v>
      </c>
      <c r="L8" s="13">
        <v>600</v>
      </c>
      <c r="M8" s="14">
        <v>64.67</v>
      </c>
      <c r="N8" s="13"/>
      <c r="O8" s="47">
        <v>27.83</v>
      </c>
      <c r="P8" s="13"/>
      <c r="Q8" s="13" t="s">
        <v>704</v>
      </c>
      <c r="R8" s="13">
        <v>2090</v>
      </c>
      <c r="S8" s="13"/>
      <c r="T8" s="10"/>
      <c r="U8" s="10"/>
      <c r="V8" s="10"/>
      <c r="W8" s="10"/>
      <c r="X8" s="10"/>
    </row>
    <row r="9" spans="1:24" x14ac:dyDescent="0.2">
      <c r="A9" s="13"/>
      <c r="B9" s="13" t="s">
        <v>788</v>
      </c>
      <c r="C9" s="13" t="s">
        <v>673</v>
      </c>
      <c r="D9" s="13" t="s">
        <v>678</v>
      </c>
      <c r="E9" s="13"/>
      <c r="F9" s="13"/>
      <c r="G9" s="13" t="s">
        <v>627</v>
      </c>
      <c r="H9" s="13" t="s">
        <v>794</v>
      </c>
      <c r="I9" s="13" t="s">
        <v>798</v>
      </c>
      <c r="J9" s="13" t="s">
        <v>792</v>
      </c>
      <c r="K9" s="13" t="s">
        <v>634</v>
      </c>
      <c r="L9" s="13">
        <v>600</v>
      </c>
      <c r="M9" s="14">
        <v>56.34</v>
      </c>
      <c r="N9" s="13"/>
      <c r="O9" s="47"/>
      <c r="P9" s="13"/>
      <c r="Q9" s="13"/>
      <c r="R9" s="13"/>
      <c r="S9" s="13"/>
      <c r="T9" s="10"/>
      <c r="U9" s="10"/>
      <c r="V9" s="10"/>
      <c r="W9" s="10"/>
      <c r="X9" s="10"/>
    </row>
    <row r="10" spans="1:24" x14ac:dyDescent="0.2">
      <c r="A10" s="13"/>
      <c r="B10" s="13" t="s">
        <v>788</v>
      </c>
      <c r="C10" s="13" t="s">
        <v>674</v>
      </c>
      <c r="D10" s="13" t="s">
        <v>676</v>
      </c>
      <c r="E10" s="13"/>
      <c r="F10" s="13"/>
      <c r="G10" s="13" t="s">
        <v>625</v>
      </c>
      <c r="H10" s="13" t="s">
        <v>794</v>
      </c>
      <c r="I10" s="13" t="s">
        <v>798</v>
      </c>
      <c r="J10" s="13" t="s">
        <v>792</v>
      </c>
      <c r="K10" s="13" t="s">
        <v>634</v>
      </c>
      <c r="L10" s="13">
        <v>400</v>
      </c>
      <c r="M10" s="14">
        <v>77.89</v>
      </c>
      <c r="N10" s="13"/>
      <c r="O10" s="47"/>
      <c r="P10" s="13"/>
      <c r="Q10" s="13"/>
      <c r="R10" s="13"/>
      <c r="S10" s="13"/>
      <c r="T10" s="10"/>
      <c r="U10" s="10"/>
      <c r="V10" s="10"/>
      <c r="W10" s="10"/>
      <c r="X10" s="10"/>
    </row>
    <row r="11" spans="1:24" ht="25.5" x14ac:dyDescent="0.2">
      <c r="A11" s="13"/>
      <c r="B11" s="13" t="s">
        <v>788</v>
      </c>
      <c r="C11" s="13" t="s">
        <v>673</v>
      </c>
      <c r="D11" s="13" t="s">
        <v>678</v>
      </c>
      <c r="E11" s="13"/>
      <c r="F11" s="13"/>
      <c r="G11" s="13" t="s">
        <v>626</v>
      </c>
      <c r="H11" s="13" t="s">
        <v>794</v>
      </c>
      <c r="I11" s="13" t="s">
        <v>798</v>
      </c>
      <c r="J11" s="13" t="s">
        <v>792</v>
      </c>
      <c r="K11" s="13" t="s">
        <v>634</v>
      </c>
      <c r="L11" s="13">
        <v>600</v>
      </c>
      <c r="M11" s="14">
        <v>75</v>
      </c>
      <c r="N11" s="13"/>
      <c r="O11" s="47"/>
      <c r="P11" s="13"/>
      <c r="Q11" s="13"/>
      <c r="R11" s="13"/>
      <c r="S11" s="13" t="s">
        <v>799</v>
      </c>
      <c r="T11" s="10"/>
      <c r="U11" s="10"/>
      <c r="V11" s="10"/>
      <c r="W11" s="10"/>
      <c r="X11" s="10"/>
    </row>
    <row r="12" spans="1:24" x14ac:dyDescent="0.2">
      <c r="A12" s="13"/>
      <c r="B12" s="13"/>
      <c r="C12" s="13"/>
      <c r="D12" s="13"/>
      <c r="E12" s="13"/>
      <c r="F12" s="13"/>
      <c r="G12" s="13"/>
      <c r="H12" s="13"/>
      <c r="I12" s="13"/>
      <c r="J12" s="13"/>
      <c r="K12" s="13"/>
      <c r="L12" s="13"/>
      <c r="M12" s="14"/>
      <c r="N12" s="13"/>
      <c r="O12" s="47"/>
      <c r="P12" s="13"/>
      <c r="Q12" s="13"/>
      <c r="R12" s="13"/>
      <c r="S12" s="13"/>
      <c r="T12" s="10"/>
      <c r="U12" s="10"/>
      <c r="V12" s="10"/>
      <c r="W12" s="10"/>
      <c r="X12" s="10"/>
    </row>
    <row r="13" spans="1:24" x14ac:dyDescent="0.2">
      <c r="A13" s="13"/>
      <c r="B13" s="13"/>
      <c r="C13" s="13"/>
      <c r="D13" s="13"/>
      <c r="E13" s="13"/>
      <c r="F13" s="13"/>
      <c r="G13" s="13"/>
      <c r="H13" s="13"/>
      <c r="I13" s="13"/>
      <c r="J13" s="13"/>
      <c r="K13" s="13"/>
      <c r="L13" s="13"/>
      <c r="M13" s="14"/>
      <c r="N13" s="13"/>
      <c r="O13" s="47"/>
      <c r="P13" s="13"/>
      <c r="Q13" s="13"/>
      <c r="R13" s="13"/>
      <c r="S13" s="13"/>
      <c r="T13" s="10"/>
      <c r="U13" s="10"/>
      <c r="V13" s="10"/>
      <c r="W13" s="10"/>
      <c r="X13" s="10"/>
    </row>
    <row r="14" spans="1:24" x14ac:dyDescent="0.2">
      <c r="A14" s="13"/>
      <c r="B14" s="13"/>
      <c r="C14" s="13"/>
      <c r="D14" s="13"/>
      <c r="E14" s="13"/>
      <c r="F14" s="13"/>
      <c r="G14" s="13"/>
      <c r="H14" s="13"/>
      <c r="I14" s="13"/>
      <c r="J14" s="13"/>
      <c r="K14" s="13"/>
      <c r="L14" s="13"/>
      <c r="M14" s="14"/>
      <c r="N14" s="13"/>
      <c r="O14" s="47"/>
      <c r="P14" s="13"/>
      <c r="Q14" s="13"/>
      <c r="R14" s="13"/>
      <c r="S14" s="13"/>
      <c r="T14" s="10"/>
      <c r="U14" s="10"/>
      <c r="V14" s="10"/>
      <c r="W14" s="10"/>
      <c r="X14" s="10"/>
    </row>
    <row r="15" spans="1:24" x14ac:dyDescent="0.2">
      <c r="A15" s="13"/>
      <c r="B15" s="13"/>
      <c r="C15" s="13"/>
      <c r="D15" s="13"/>
      <c r="E15" s="13"/>
      <c r="F15" s="13"/>
      <c r="G15" s="13"/>
      <c r="H15" s="13"/>
      <c r="I15" s="13"/>
      <c r="J15" s="13"/>
      <c r="K15" s="13"/>
      <c r="L15" s="13"/>
      <c r="M15" s="14"/>
      <c r="N15" s="13"/>
      <c r="O15" s="47"/>
      <c r="P15" s="13"/>
      <c r="Q15" s="13"/>
      <c r="R15" s="13"/>
      <c r="S15" s="13"/>
      <c r="T15" s="10"/>
      <c r="U15" s="10"/>
      <c r="V15" s="10"/>
      <c r="W15" s="10"/>
      <c r="X15" s="10"/>
    </row>
    <row r="16" spans="1:24" x14ac:dyDescent="0.2">
      <c r="A16" s="13"/>
      <c r="B16" s="13"/>
      <c r="C16" s="13"/>
      <c r="D16" s="13"/>
      <c r="E16" s="13"/>
      <c r="F16" s="13"/>
      <c r="G16" s="13"/>
      <c r="H16" s="13"/>
      <c r="I16" s="13"/>
      <c r="J16" s="13"/>
      <c r="K16" s="13"/>
      <c r="L16" s="13"/>
      <c r="M16" s="14"/>
      <c r="N16" s="13"/>
      <c r="O16" s="47"/>
      <c r="P16" s="13"/>
      <c r="Q16" s="13"/>
      <c r="R16" s="13"/>
      <c r="S16" s="13"/>
      <c r="T16" s="10"/>
      <c r="U16" s="10"/>
      <c r="V16" s="10"/>
      <c r="W16" s="10"/>
      <c r="X16" s="10"/>
    </row>
    <row r="17" spans="1:24" x14ac:dyDescent="0.2">
      <c r="A17" s="13"/>
      <c r="B17" s="13"/>
      <c r="C17" s="13"/>
      <c r="D17" s="13"/>
      <c r="E17" s="13"/>
      <c r="F17" s="13"/>
      <c r="G17" s="13"/>
      <c r="H17" s="13"/>
      <c r="I17" s="13"/>
      <c r="J17" s="13"/>
      <c r="K17" s="13"/>
      <c r="L17" s="13"/>
      <c r="M17" s="14"/>
      <c r="N17" s="13"/>
      <c r="O17" s="47"/>
      <c r="P17" s="13"/>
      <c r="Q17" s="13"/>
      <c r="R17" s="13"/>
      <c r="S17" s="13"/>
      <c r="T17" s="10"/>
      <c r="U17" s="10"/>
      <c r="V17" s="10"/>
      <c r="W17" s="10"/>
      <c r="X17" s="10"/>
    </row>
    <row r="18" spans="1:24" x14ac:dyDescent="0.2">
      <c r="A18" s="13"/>
      <c r="B18" s="13"/>
      <c r="C18" s="13"/>
      <c r="D18" s="13"/>
      <c r="E18" s="13"/>
      <c r="F18" s="13"/>
      <c r="G18" s="13"/>
      <c r="H18" s="13"/>
      <c r="I18" s="13"/>
      <c r="J18" s="13"/>
      <c r="K18" s="13"/>
      <c r="L18" s="13"/>
      <c r="M18" s="14"/>
      <c r="N18" s="13"/>
      <c r="O18" s="47"/>
      <c r="P18" s="13"/>
      <c r="Q18" s="13"/>
      <c r="R18" s="13"/>
      <c r="S18" s="13"/>
      <c r="T18" s="10"/>
      <c r="U18" s="10"/>
      <c r="V18" s="10"/>
      <c r="W18" s="10"/>
      <c r="X18" s="10"/>
    </row>
    <row r="19" spans="1:24" x14ac:dyDescent="0.2">
      <c r="A19" s="13"/>
      <c r="B19" s="13"/>
      <c r="C19" s="13"/>
      <c r="D19" s="13"/>
      <c r="E19" s="13"/>
      <c r="F19" s="13"/>
      <c r="G19" s="13"/>
      <c r="H19" s="13"/>
      <c r="I19" s="13"/>
      <c r="J19" s="13"/>
      <c r="K19" s="13"/>
      <c r="L19" s="13"/>
      <c r="M19" s="14"/>
      <c r="N19" s="13"/>
      <c r="O19" s="47"/>
      <c r="P19" s="13"/>
      <c r="Q19" s="13"/>
      <c r="R19" s="13"/>
      <c r="S19" s="13"/>
      <c r="T19" s="10"/>
      <c r="U19" s="10"/>
      <c r="V19" s="10"/>
      <c r="W19" s="10"/>
      <c r="X19" s="10"/>
    </row>
    <row r="20" spans="1:24" x14ac:dyDescent="0.2">
      <c r="A20" s="13"/>
      <c r="B20" s="13"/>
      <c r="C20" s="13"/>
      <c r="D20" s="13"/>
      <c r="E20" s="13"/>
      <c r="F20" s="13"/>
      <c r="G20" s="13"/>
      <c r="H20" s="13"/>
      <c r="I20" s="13"/>
      <c r="J20" s="13"/>
      <c r="K20" s="13"/>
      <c r="L20" s="13"/>
      <c r="M20" s="14"/>
      <c r="N20" s="13"/>
      <c r="O20" s="47"/>
      <c r="P20" s="13"/>
      <c r="Q20" s="13"/>
      <c r="R20" s="13"/>
      <c r="S20" s="13"/>
      <c r="T20" s="10"/>
      <c r="U20" s="10"/>
      <c r="V20" s="10"/>
      <c r="W20" s="10"/>
      <c r="X20" s="10"/>
    </row>
    <row r="21" spans="1:24" x14ac:dyDescent="0.2">
      <c r="A21" s="13"/>
      <c r="B21" s="13"/>
      <c r="C21" s="13"/>
      <c r="D21" s="13"/>
      <c r="E21" s="13"/>
      <c r="F21" s="13"/>
      <c r="G21" s="13"/>
      <c r="H21" s="13"/>
      <c r="I21" s="13"/>
      <c r="J21" s="13"/>
      <c r="K21" s="13"/>
      <c r="L21" s="13"/>
      <c r="M21" s="14"/>
      <c r="N21" s="13"/>
      <c r="O21" s="47"/>
      <c r="P21" s="13"/>
      <c r="Q21" s="13"/>
      <c r="R21" s="13"/>
      <c r="S21" s="13"/>
      <c r="T21" s="10"/>
      <c r="U21" s="10"/>
      <c r="V21" s="10"/>
      <c r="W21" s="10"/>
      <c r="X21" s="10"/>
    </row>
    <row r="22" spans="1:24" x14ac:dyDescent="0.2">
      <c r="A22" s="13"/>
      <c r="B22" s="13"/>
      <c r="C22" s="13"/>
      <c r="D22" s="13"/>
      <c r="E22" s="13"/>
      <c r="F22" s="13"/>
      <c r="G22" s="13"/>
      <c r="H22" s="13"/>
      <c r="I22" s="13"/>
      <c r="J22" s="13"/>
      <c r="K22" s="13"/>
      <c r="L22" s="13"/>
      <c r="M22" s="14"/>
      <c r="N22" s="13"/>
      <c r="O22" s="47"/>
      <c r="P22" s="13"/>
      <c r="Q22" s="13"/>
      <c r="R22" s="13"/>
      <c r="S22" s="13"/>
      <c r="T22" s="10"/>
      <c r="U22" s="10"/>
      <c r="V22" s="10"/>
      <c r="W22" s="10"/>
      <c r="X22" s="10"/>
    </row>
    <row r="23" spans="1:24" x14ac:dyDescent="0.2">
      <c r="A23" s="13"/>
      <c r="B23" s="13"/>
      <c r="C23" s="13"/>
      <c r="D23" s="13"/>
      <c r="E23" s="13"/>
      <c r="F23" s="13"/>
      <c r="G23" s="13"/>
      <c r="H23" s="13"/>
      <c r="I23" s="13"/>
      <c r="J23" s="13"/>
      <c r="K23" s="13"/>
      <c r="L23" s="13"/>
      <c r="M23" s="14"/>
      <c r="N23" s="13"/>
      <c r="O23" s="47"/>
      <c r="P23" s="13"/>
      <c r="Q23" s="13"/>
      <c r="R23" s="13"/>
      <c r="S23" s="13"/>
      <c r="T23" s="10"/>
      <c r="U23" s="10"/>
      <c r="V23" s="10"/>
      <c r="W23" s="10"/>
      <c r="X23" s="10"/>
    </row>
    <row r="24" spans="1:24" x14ac:dyDescent="0.2">
      <c r="A24" s="13"/>
      <c r="B24" s="13"/>
      <c r="C24" s="13"/>
      <c r="D24" s="13"/>
      <c r="E24" s="13"/>
      <c r="F24" s="13"/>
      <c r="G24" s="13"/>
      <c r="H24" s="13"/>
      <c r="I24" s="13"/>
      <c r="J24" s="13"/>
      <c r="K24" s="13"/>
      <c r="L24" s="13"/>
      <c r="M24" s="14"/>
      <c r="N24" s="13"/>
      <c r="O24" s="47"/>
      <c r="P24" s="13"/>
      <c r="Q24" s="13"/>
      <c r="R24" s="13"/>
      <c r="S24" s="13"/>
      <c r="T24" s="10"/>
      <c r="U24" s="10"/>
      <c r="V24" s="10"/>
      <c r="W24" s="10"/>
      <c r="X24" s="10"/>
    </row>
    <row r="25" spans="1:24" x14ac:dyDescent="0.2">
      <c r="A25" s="13"/>
      <c r="B25" s="13"/>
      <c r="C25" s="13"/>
      <c r="D25" s="13"/>
      <c r="E25" s="13"/>
      <c r="F25" s="13"/>
      <c r="G25" s="13"/>
      <c r="H25" s="13"/>
      <c r="I25" s="13"/>
      <c r="J25" s="13"/>
      <c r="K25" s="13"/>
      <c r="L25" s="13"/>
      <c r="M25" s="14"/>
      <c r="N25" s="13"/>
      <c r="O25" s="47"/>
      <c r="P25" s="13"/>
      <c r="Q25" s="13"/>
      <c r="R25" s="13"/>
      <c r="S25" s="13"/>
      <c r="T25" s="10"/>
      <c r="U25" s="10"/>
      <c r="V25" s="10"/>
      <c r="W25" s="10"/>
      <c r="X25" s="10"/>
    </row>
    <row r="26" spans="1:24" x14ac:dyDescent="0.2">
      <c r="A26" s="13"/>
      <c r="B26" s="13"/>
      <c r="C26" s="13"/>
      <c r="D26" s="13"/>
      <c r="E26" s="13"/>
      <c r="F26" s="13"/>
      <c r="G26" s="13"/>
      <c r="H26" s="13"/>
      <c r="I26" s="13"/>
      <c r="J26" s="13"/>
      <c r="K26" s="13"/>
      <c r="L26" s="13"/>
      <c r="M26" s="14"/>
      <c r="N26" s="13"/>
      <c r="O26" s="47"/>
      <c r="P26" s="13"/>
      <c r="Q26" s="13"/>
      <c r="R26" s="13"/>
      <c r="S26" s="13"/>
      <c r="T26" s="10"/>
      <c r="U26" s="10"/>
      <c r="V26" s="10"/>
      <c r="W26" s="10"/>
      <c r="X26" s="10"/>
    </row>
    <row r="27" spans="1:24" x14ac:dyDescent="0.2">
      <c r="A27" s="13"/>
      <c r="B27" s="13"/>
      <c r="C27" s="13"/>
      <c r="D27" s="13"/>
      <c r="E27" s="13"/>
      <c r="F27" s="13"/>
      <c r="G27" s="13"/>
      <c r="H27" s="13"/>
      <c r="I27" s="13"/>
      <c r="J27" s="13"/>
      <c r="K27" s="13"/>
      <c r="L27" s="13"/>
      <c r="M27" s="14"/>
      <c r="N27" s="13"/>
      <c r="O27" s="47"/>
      <c r="P27" s="13"/>
      <c r="Q27" s="13"/>
      <c r="R27" s="13"/>
      <c r="S27" s="13"/>
      <c r="T27" s="10"/>
      <c r="U27" s="10"/>
      <c r="V27" s="10"/>
      <c r="W27" s="10"/>
      <c r="X27" s="10"/>
    </row>
    <row r="28" spans="1:24" x14ac:dyDescent="0.2">
      <c r="A28" s="13"/>
      <c r="B28" s="13"/>
      <c r="C28" s="13"/>
      <c r="D28" s="13"/>
      <c r="E28" s="13"/>
      <c r="F28" s="13"/>
      <c r="G28" s="13"/>
      <c r="H28" s="13"/>
      <c r="I28" s="13"/>
      <c r="J28" s="13"/>
      <c r="K28" s="13"/>
      <c r="L28" s="13"/>
      <c r="M28" s="14"/>
      <c r="N28" s="13"/>
      <c r="O28" s="47"/>
      <c r="P28" s="13"/>
      <c r="Q28" s="13"/>
      <c r="R28" s="13"/>
      <c r="S28" s="13"/>
      <c r="T28" s="10"/>
      <c r="U28" s="10"/>
      <c r="V28" s="10"/>
      <c r="W28" s="10"/>
      <c r="X28" s="10"/>
    </row>
    <row r="29" spans="1:24" x14ac:dyDescent="0.2">
      <c r="A29" s="13"/>
      <c r="B29" s="13"/>
      <c r="C29" s="13"/>
      <c r="D29" s="13"/>
      <c r="E29" s="13"/>
      <c r="F29" s="13"/>
      <c r="G29" s="13"/>
      <c r="H29" s="13"/>
      <c r="I29" s="13"/>
      <c r="J29" s="13"/>
      <c r="K29" s="13"/>
      <c r="L29" s="13"/>
      <c r="M29" s="14"/>
      <c r="N29" s="13"/>
      <c r="O29" s="47"/>
      <c r="P29" s="13"/>
      <c r="Q29" s="13"/>
      <c r="R29" s="13"/>
      <c r="S29" s="13"/>
      <c r="T29" s="10"/>
      <c r="U29" s="10"/>
      <c r="V29" s="10"/>
      <c r="W29" s="10"/>
      <c r="X29" s="10"/>
    </row>
    <row r="30" spans="1:24" x14ac:dyDescent="0.2">
      <c r="A30" s="13"/>
      <c r="B30" s="13"/>
      <c r="C30" s="13"/>
      <c r="D30" s="13"/>
      <c r="E30" s="13"/>
      <c r="F30" s="13"/>
      <c r="G30" s="13"/>
      <c r="H30" s="13"/>
      <c r="I30" s="13"/>
      <c r="J30" s="13"/>
      <c r="K30" s="13"/>
      <c r="L30" s="13"/>
      <c r="M30" s="14"/>
      <c r="N30" s="13"/>
      <c r="O30" s="47"/>
      <c r="P30" s="13"/>
      <c r="Q30" s="13"/>
      <c r="R30" s="13"/>
      <c r="S30" s="13"/>
      <c r="T30" s="10"/>
      <c r="U30" s="10"/>
      <c r="V30" s="10"/>
      <c r="W30" s="10"/>
      <c r="X30" s="10"/>
    </row>
    <row r="31" spans="1:24" x14ac:dyDescent="0.2">
      <c r="A31" s="13"/>
      <c r="B31" s="13"/>
      <c r="C31" s="13"/>
      <c r="D31" s="13"/>
      <c r="E31" s="13"/>
      <c r="F31" s="13"/>
      <c r="G31" s="13"/>
      <c r="H31" s="13"/>
      <c r="I31" s="13"/>
      <c r="J31" s="13"/>
      <c r="K31" s="13"/>
      <c r="L31" s="13"/>
      <c r="M31" s="14"/>
      <c r="N31" s="13"/>
      <c r="O31" s="47"/>
      <c r="P31" s="13"/>
      <c r="Q31" s="13"/>
      <c r="R31" s="13"/>
      <c r="S31" s="13"/>
      <c r="T31" s="10"/>
      <c r="U31" s="10"/>
      <c r="V31" s="10"/>
      <c r="W31" s="10"/>
      <c r="X31" s="10"/>
    </row>
    <row r="32" spans="1:24" x14ac:dyDescent="0.2">
      <c r="A32" s="13"/>
      <c r="B32" s="13"/>
      <c r="C32" s="13"/>
      <c r="D32" s="13"/>
      <c r="E32" s="13"/>
      <c r="F32" s="13"/>
      <c r="G32" s="13"/>
      <c r="H32" s="13"/>
      <c r="I32" s="13"/>
      <c r="J32" s="13"/>
      <c r="K32" s="13"/>
      <c r="L32" s="13"/>
      <c r="M32" s="14"/>
      <c r="N32" s="13"/>
      <c r="O32" s="47"/>
      <c r="P32" s="13"/>
      <c r="Q32" s="13"/>
      <c r="R32" s="13"/>
      <c r="S32" s="13"/>
      <c r="T32" s="10"/>
      <c r="U32" s="10"/>
      <c r="V32" s="10"/>
      <c r="W32" s="10"/>
      <c r="X32" s="10"/>
    </row>
    <row r="33" spans="1:24" x14ac:dyDescent="0.2">
      <c r="A33" s="13"/>
      <c r="B33" s="13"/>
      <c r="C33" s="13"/>
      <c r="D33" s="13"/>
      <c r="E33" s="13"/>
      <c r="F33" s="13"/>
      <c r="G33" s="13"/>
      <c r="H33" s="13"/>
      <c r="I33" s="13"/>
      <c r="J33" s="13"/>
      <c r="K33" s="13"/>
      <c r="L33" s="13"/>
      <c r="M33" s="14"/>
      <c r="N33" s="13"/>
      <c r="O33" s="47"/>
      <c r="P33" s="13"/>
      <c r="Q33" s="13"/>
      <c r="R33" s="13"/>
      <c r="S33" s="13"/>
      <c r="T33" s="10"/>
      <c r="U33" s="10"/>
      <c r="V33" s="10"/>
      <c r="W33" s="10"/>
      <c r="X33" s="10"/>
    </row>
    <row r="34" spans="1:24" x14ac:dyDescent="0.2">
      <c r="A34" s="13"/>
      <c r="B34" s="13"/>
      <c r="C34" s="13"/>
      <c r="D34" s="13"/>
      <c r="E34" s="13"/>
      <c r="F34" s="13"/>
      <c r="G34" s="13"/>
      <c r="H34" s="13"/>
      <c r="I34" s="13"/>
      <c r="J34" s="13"/>
      <c r="K34" s="13"/>
      <c r="L34" s="13"/>
      <c r="M34" s="14"/>
      <c r="N34" s="13"/>
      <c r="O34" s="47"/>
      <c r="P34" s="13"/>
      <c r="Q34" s="13"/>
      <c r="R34" s="13"/>
      <c r="S34" s="13"/>
      <c r="T34" s="10"/>
      <c r="U34" s="10"/>
      <c r="V34" s="10"/>
      <c r="W34" s="10"/>
      <c r="X34" s="10"/>
    </row>
    <row r="35" spans="1:24" x14ac:dyDescent="0.2">
      <c r="A35" s="13"/>
      <c r="B35" s="13"/>
      <c r="C35" s="13"/>
      <c r="D35" s="13"/>
      <c r="E35" s="13"/>
      <c r="F35" s="13"/>
      <c r="G35" s="13"/>
      <c r="H35" s="13"/>
      <c r="I35" s="13"/>
      <c r="J35" s="13"/>
      <c r="K35" s="13"/>
      <c r="L35" s="13"/>
      <c r="M35" s="14"/>
      <c r="N35" s="13"/>
      <c r="O35" s="47"/>
      <c r="P35" s="13"/>
      <c r="Q35" s="13"/>
      <c r="R35" s="13"/>
      <c r="S35" s="13"/>
      <c r="T35" s="10"/>
      <c r="U35" s="10"/>
      <c r="V35" s="10"/>
      <c r="W35" s="10"/>
      <c r="X35" s="10"/>
    </row>
    <row r="36" spans="1:24" x14ac:dyDescent="0.2">
      <c r="A36" s="13"/>
      <c r="B36" s="13"/>
      <c r="C36" s="13"/>
      <c r="D36" s="13"/>
      <c r="E36" s="13"/>
      <c r="F36" s="13"/>
      <c r="G36" s="13"/>
      <c r="H36" s="13"/>
      <c r="I36" s="13"/>
      <c r="J36" s="13"/>
      <c r="K36" s="13"/>
      <c r="L36" s="13"/>
      <c r="M36" s="14"/>
      <c r="N36" s="13"/>
      <c r="O36" s="47"/>
      <c r="P36" s="13"/>
      <c r="Q36" s="13"/>
      <c r="R36" s="13"/>
      <c r="S36" s="13"/>
      <c r="T36" s="10"/>
      <c r="U36" s="10"/>
      <c r="V36" s="10"/>
      <c r="W36" s="10"/>
      <c r="X36" s="10"/>
    </row>
    <row r="37" spans="1:24" x14ac:dyDescent="0.2">
      <c r="A37" s="13"/>
      <c r="B37" s="13"/>
      <c r="C37" s="13"/>
      <c r="D37" s="13"/>
      <c r="E37" s="13"/>
      <c r="F37" s="13"/>
      <c r="G37" s="13"/>
      <c r="H37" s="13"/>
      <c r="I37" s="13"/>
      <c r="J37" s="13"/>
      <c r="K37" s="13"/>
      <c r="L37" s="13"/>
      <c r="M37" s="14"/>
      <c r="N37" s="13"/>
      <c r="O37" s="47"/>
      <c r="P37" s="13"/>
      <c r="Q37" s="13"/>
      <c r="R37" s="13"/>
      <c r="S37" s="13"/>
      <c r="T37" s="10"/>
      <c r="U37" s="10"/>
      <c r="V37" s="10"/>
      <c r="W37" s="10"/>
      <c r="X37" s="10"/>
    </row>
    <row r="38" spans="1:24" x14ac:dyDescent="0.2">
      <c r="A38" s="13"/>
      <c r="B38" s="13"/>
      <c r="C38" s="13"/>
      <c r="D38" s="13"/>
      <c r="E38" s="13"/>
      <c r="F38" s="13"/>
      <c r="G38" s="13"/>
      <c r="H38" s="13"/>
      <c r="I38" s="13"/>
      <c r="J38" s="13"/>
      <c r="K38" s="13"/>
      <c r="L38" s="13"/>
      <c r="M38" s="14"/>
      <c r="N38" s="13"/>
      <c r="O38" s="47"/>
      <c r="P38" s="13"/>
      <c r="Q38" s="13"/>
      <c r="R38" s="13"/>
      <c r="S38" s="13"/>
      <c r="T38" s="10"/>
      <c r="U38" s="10"/>
      <c r="V38" s="10"/>
      <c r="W38" s="10"/>
      <c r="X38" s="10"/>
    </row>
    <row r="39" spans="1:24" x14ac:dyDescent="0.2">
      <c r="A39" s="13"/>
      <c r="B39" s="13"/>
      <c r="C39" s="13"/>
      <c r="D39" s="13"/>
      <c r="E39" s="13"/>
      <c r="F39" s="13"/>
      <c r="G39" s="13"/>
      <c r="H39" s="13"/>
      <c r="I39" s="13"/>
      <c r="J39" s="13"/>
      <c r="K39" s="13"/>
      <c r="L39" s="13"/>
      <c r="M39" s="14"/>
      <c r="N39" s="13"/>
      <c r="O39" s="47"/>
      <c r="P39" s="13"/>
      <c r="Q39" s="13"/>
      <c r="R39" s="13"/>
      <c r="S39" s="13"/>
      <c r="T39" s="10"/>
      <c r="U39" s="10"/>
      <c r="V39" s="10"/>
      <c r="W39" s="10"/>
      <c r="X39" s="10"/>
    </row>
    <row r="40" spans="1:24" x14ac:dyDescent="0.2">
      <c r="A40" s="13"/>
      <c r="B40" s="13"/>
      <c r="C40" s="13"/>
      <c r="D40" s="13"/>
      <c r="E40" s="13"/>
      <c r="F40" s="13"/>
      <c r="G40" s="13"/>
      <c r="H40" s="13"/>
      <c r="I40" s="13"/>
      <c r="J40" s="13"/>
      <c r="K40" s="13"/>
      <c r="L40" s="13"/>
      <c r="M40" s="14"/>
      <c r="N40" s="13"/>
      <c r="O40" s="47"/>
      <c r="P40" s="13"/>
      <c r="Q40" s="13"/>
      <c r="R40" s="13"/>
      <c r="S40" s="13"/>
      <c r="T40" s="10"/>
      <c r="U40" s="10"/>
      <c r="V40" s="10"/>
      <c r="W40" s="10"/>
      <c r="X40" s="10"/>
    </row>
    <row r="41" spans="1:24" x14ac:dyDescent="0.2">
      <c r="A41" s="13"/>
      <c r="B41" s="13"/>
      <c r="C41" s="13"/>
      <c r="D41" s="13"/>
      <c r="E41" s="13"/>
      <c r="F41" s="13"/>
      <c r="G41" s="13"/>
      <c r="H41" s="13"/>
      <c r="I41" s="13"/>
      <c r="J41" s="13"/>
      <c r="K41" s="13"/>
      <c r="L41" s="13"/>
      <c r="M41" s="14"/>
      <c r="N41" s="13"/>
      <c r="O41" s="47"/>
      <c r="P41" s="13"/>
      <c r="Q41" s="13"/>
      <c r="R41" s="13"/>
      <c r="S41" s="13"/>
      <c r="T41" s="10"/>
      <c r="U41" s="10"/>
      <c r="V41" s="10"/>
      <c r="W41" s="10"/>
      <c r="X41" s="10"/>
    </row>
    <row r="42" spans="1:24" x14ac:dyDescent="0.2">
      <c r="A42" s="13"/>
      <c r="B42" s="13"/>
      <c r="C42" s="13"/>
      <c r="D42" s="13"/>
      <c r="E42" s="13"/>
      <c r="F42" s="13"/>
      <c r="G42" s="13"/>
      <c r="H42" s="13"/>
      <c r="I42" s="13"/>
      <c r="J42" s="13"/>
      <c r="K42" s="13"/>
      <c r="L42" s="13"/>
      <c r="M42" s="14"/>
      <c r="N42" s="13"/>
      <c r="O42" s="47"/>
      <c r="P42" s="13"/>
      <c r="Q42" s="13"/>
      <c r="R42" s="13"/>
      <c r="S42" s="13"/>
      <c r="T42" s="10"/>
      <c r="U42" s="10"/>
      <c r="V42" s="10"/>
      <c r="W42" s="10"/>
      <c r="X42" s="10"/>
    </row>
    <row r="43" spans="1:24" x14ac:dyDescent="0.2">
      <c r="A43" s="13"/>
      <c r="B43" s="13"/>
      <c r="C43" s="13"/>
      <c r="D43" s="13"/>
      <c r="E43" s="13"/>
      <c r="F43" s="13"/>
      <c r="G43" s="13"/>
      <c r="H43" s="13"/>
      <c r="I43" s="13"/>
      <c r="J43" s="13"/>
      <c r="K43" s="13"/>
      <c r="L43" s="13"/>
      <c r="M43" s="14"/>
      <c r="N43" s="13"/>
      <c r="O43" s="47"/>
      <c r="P43" s="13"/>
      <c r="Q43" s="13"/>
      <c r="R43" s="13"/>
      <c r="S43" s="13"/>
      <c r="T43" s="10"/>
      <c r="U43" s="10"/>
      <c r="V43" s="10"/>
      <c r="W43" s="10"/>
      <c r="X43" s="10"/>
    </row>
    <row r="44" spans="1:24" x14ac:dyDescent="0.2">
      <c r="A44" s="13"/>
      <c r="B44" s="13"/>
      <c r="C44" s="13"/>
      <c r="D44" s="13"/>
      <c r="E44" s="13"/>
      <c r="F44" s="13"/>
      <c r="G44" s="13"/>
      <c r="H44" s="13"/>
      <c r="I44" s="13"/>
      <c r="J44" s="13"/>
      <c r="K44" s="13"/>
      <c r="L44" s="13"/>
      <c r="M44" s="14"/>
      <c r="N44" s="13"/>
      <c r="O44" s="47"/>
      <c r="P44" s="13"/>
      <c r="Q44" s="13"/>
      <c r="R44" s="13"/>
      <c r="S44" s="13"/>
      <c r="T44" s="10"/>
      <c r="U44" s="10"/>
      <c r="V44" s="10"/>
      <c r="W44" s="10"/>
      <c r="X44" s="10"/>
    </row>
    <row r="45" spans="1:24" x14ac:dyDescent="0.2">
      <c r="A45" s="13"/>
      <c r="B45" s="13"/>
      <c r="C45" s="13"/>
      <c r="D45" s="13"/>
      <c r="E45" s="13"/>
      <c r="F45" s="13"/>
      <c r="G45" s="13"/>
      <c r="H45" s="13"/>
      <c r="I45" s="13"/>
      <c r="J45" s="13"/>
      <c r="K45" s="13"/>
      <c r="L45" s="13"/>
      <c r="M45" s="14"/>
      <c r="N45" s="13"/>
      <c r="O45" s="47"/>
      <c r="P45" s="13"/>
      <c r="Q45" s="13"/>
      <c r="R45" s="13"/>
      <c r="S45" s="13"/>
      <c r="T45" s="10"/>
      <c r="U45" s="10"/>
      <c r="V45" s="10"/>
      <c r="W45" s="10"/>
      <c r="X45" s="10"/>
    </row>
    <row r="46" spans="1:24" x14ac:dyDescent="0.2">
      <c r="A46" s="13"/>
      <c r="B46" s="13"/>
      <c r="C46" s="13"/>
      <c r="D46" s="13"/>
      <c r="E46" s="13"/>
      <c r="F46" s="13"/>
      <c r="G46" s="13"/>
      <c r="H46" s="13"/>
      <c r="I46" s="13"/>
      <c r="J46" s="13"/>
      <c r="K46" s="13"/>
      <c r="L46" s="13"/>
      <c r="M46" s="14"/>
      <c r="N46" s="13"/>
      <c r="O46" s="47"/>
      <c r="P46" s="13"/>
      <c r="Q46" s="13"/>
      <c r="R46" s="13"/>
      <c r="S46" s="13"/>
      <c r="T46" s="10"/>
      <c r="U46" s="10"/>
      <c r="V46" s="10"/>
      <c r="W46" s="10"/>
      <c r="X46" s="10"/>
    </row>
    <row r="47" spans="1:24" x14ac:dyDescent="0.2">
      <c r="A47" s="13"/>
      <c r="B47" s="13"/>
      <c r="C47" s="13"/>
      <c r="D47" s="13"/>
      <c r="E47" s="13"/>
      <c r="F47" s="13"/>
      <c r="G47" s="13"/>
      <c r="H47" s="13"/>
      <c r="I47" s="13"/>
      <c r="J47" s="13"/>
      <c r="K47" s="13"/>
      <c r="L47" s="13"/>
      <c r="M47" s="14"/>
      <c r="N47" s="13"/>
      <c r="O47" s="47"/>
      <c r="P47" s="13"/>
      <c r="Q47" s="13"/>
      <c r="R47" s="13"/>
      <c r="S47" s="13"/>
      <c r="T47" s="10"/>
      <c r="U47" s="10"/>
      <c r="V47" s="10"/>
      <c r="W47" s="10"/>
      <c r="X47" s="10"/>
    </row>
    <row r="48" spans="1:24" x14ac:dyDescent="0.2">
      <c r="A48" s="13"/>
      <c r="B48" s="13"/>
      <c r="C48" s="13"/>
      <c r="D48" s="13"/>
      <c r="E48" s="13"/>
      <c r="F48" s="13"/>
      <c r="G48" s="13"/>
      <c r="H48" s="13"/>
      <c r="I48" s="13"/>
      <c r="J48" s="13"/>
      <c r="K48" s="13"/>
      <c r="L48" s="13"/>
      <c r="M48" s="14"/>
      <c r="N48" s="13"/>
      <c r="O48" s="47"/>
      <c r="P48" s="13"/>
      <c r="Q48" s="13"/>
      <c r="R48" s="13"/>
      <c r="S48" s="13"/>
      <c r="T48" s="10"/>
      <c r="U48" s="10"/>
      <c r="V48" s="10"/>
      <c r="W48" s="10"/>
      <c r="X48" s="10"/>
    </row>
    <row r="49" spans="1:24" x14ac:dyDescent="0.2">
      <c r="A49" s="13"/>
      <c r="B49" s="13"/>
      <c r="C49" s="13"/>
      <c r="D49" s="13"/>
      <c r="E49" s="13"/>
      <c r="F49" s="13"/>
      <c r="G49" s="13"/>
      <c r="H49" s="13"/>
      <c r="I49" s="13"/>
      <c r="J49" s="13"/>
      <c r="K49" s="13"/>
      <c r="L49" s="13"/>
      <c r="M49" s="14"/>
      <c r="N49" s="13"/>
      <c r="O49" s="47"/>
      <c r="P49" s="13"/>
      <c r="Q49" s="13"/>
      <c r="R49" s="13"/>
      <c r="S49" s="13"/>
      <c r="T49" s="10"/>
      <c r="U49" s="10"/>
      <c r="V49" s="10"/>
      <c r="W49" s="10"/>
      <c r="X49" s="10"/>
    </row>
    <row r="50" spans="1:24" x14ac:dyDescent="0.2">
      <c r="A50" s="13"/>
      <c r="B50" s="13"/>
      <c r="C50" s="13"/>
      <c r="D50" s="13"/>
      <c r="E50" s="13"/>
      <c r="F50" s="13"/>
      <c r="G50" s="13"/>
      <c r="H50" s="13"/>
      <c r="I50" s="13"/>
      <c r="J50" s="13"/>
      <c r="K50" s="13"/>
      <c r="L50" s="13"/>
      <c r="M50" s="14"/>
      <c r="N50" s="13"/>
      <c r="O50" s="47"/>
      <c r="P50" s="13"/>
      <c r="Q50" s="13"/>
      <c r="R50" s="13"/>
      <c r="S50" s="13"/>
      <c r="T50" s="10"/>
      <c r="U50" s="10"/>
      <c r="V50" s="10"/>
      <c r="W50" s="10"/>
      <c r="X50" s="10"/>
    </row>
    <row r="51" spans="1:24" x14ac:dyDescent="0.2">
      <c r="A51" s="13"/>
      <c r="B51" s="13"/>
      <c r="C51" s="13"/>
      <c r="D51" s="13"/>
      <c r="E51" s="13"/>
      <c r="F51" s="13"/>
      <c r="G51" s="13"/>
      <c r="H51" s="13"/>
      <c r="I51" s="13"/>
      <c r="J51" s="13"/>
      <c r="K51" s="13"/>
      <c r="L51" s="13"/>
      <c r="M51" s="14"/>
      <c r="N51" s="13"/>
      <c r="O51" s="47"/>
      <c r="P51" s="13"/>
      <c r="Q51" s="13"/>
      <c r="R51" s="13"/>
      <c r="S51" s="13"/>
      <c r="T51" s="10"/>
      <c r="U51" s="10"/>
      <c r="V51" s="10"/>
      <c r="W51" s="10"/>
      <c r="X51" s="10"/>
    </row>
    <row r="52" spans="1:24" x14ac:dyDescent="0.2">
      <c r="A52" s="13"/>
      <c r="B52" s="13"/>
      <c r="C52" s="13"/>
      <c r="D52" s="13"/>
      <c r="E52" s="13"/>
      <c r="F52" s="13"/>
      <c r="G52" s="13"/>
      <c r="H52" s="13"/>
      <c r="I52" s="13"/>
      <c r="J52" s="13"/>
      <c r="K52" s="13"/>
      <c r="L52" s="13"/>
      <c r="M52" s="14"/>
      <c r="N52" s="13"/>
      <c r="O52" s="47"/>
      <c r="P52" s="13"/>
      <c r="Q52" s="13"/>
      <c r="R52" s="13"/>
      <c r="S52" s="13"/>
      <c r="T52" s="10"/>
      <c r="U52" s="10"/>
      <c r="V52" s="10"/>
      <c r="W52" s="10"/>
      <c r="X52" s="10"/>
    </row>
    <row r="53" spans="1:24" x14ac:dyDescent="0.2">
      <c r="A53" s="13"/>
      <c r="B53" s="13"/>
      <c r="C53" s="13"/>
      <c r="D53" s="13"/>
      <c r="E53" s="13"/>
      <c r="F53" s="13"/>
      <c r="G53" s="13"/>
      <c r="H53" s="13"/>
      <c r="I53" s="13"/>
      <c r="J53" s="13"/>
      <c r="K53" s="13"/>
      <c r="L53" s="13"/>
      <c r="M53" s="14"/>
      <c r="N53" s="13"/>
      <c r="O53" s="47"/>
      <c r="P53" s="13"/>
      <c r="Q53" s="13"/>
      <c r="R53" s="13"/>
      <c r="S53" s="13"/>
      <c r="T53" s="10"/>
      <c r="U53" s="10"/>
      <c r="V53" s="10"/>
      <c r="W53" s="10"/>
      <c r="X53" s="10"/>
    </row>
    <row r="54" spans="1:24" x14ac:dyDescent="0.2">
      <c r="A54" s="13"/>
      <c r="B54" s="13"/>
      <c r="C54" s="13"/>
      <c r="D54" s="13"/>
      <c r="E54" s="13"/>
      <c r="F54" s="13"/>
      <c r="G54" s="13"/>
      <c r="H54" s="13"/>
      <c r="I54" s="13"/>
      <c r="J54" s="13"/>
      <c r="K54" s="13"/>
      <c r="L54" s="13"/>
      <c r="M54" s="14"/>
      <c r="N54" s="13"/>
      <c r="O54" s="47"/>
      <c r="P54" s="13"/>
      <c r="Q54" s="13"/>
      <c r="R54" s="13"/>
      <c r="S54" s="13"/>
      <c r="T54" s="10"/>
      <c r="U54" s="10"/>
      <c r="V54" s="10"/>
      <c r="W54" s="10"/>
      <c r="X54" s="10"/>
    </row>
    <row r="55" spans="1:24" x14ac:dyDescent="0.2">
      <c r="A55" s="13"/>
      <c r="B55" s="13"/>
      <c r="C55" s="13"/>
      <c r="D55" s="13"/>
      <c r="E55" s="13"/>
      <c r="F55" s="13"/>
      <c r="G55" s="13"/>
      <c r="H55" s="13"/>
      <c r="I55" s="13"/>
      <c r="J55" s="13"/>
      <c r="K55" s="13"/>
      <c r="L55" s="13"/>
      <c r="M55" s="14"/>
      <c r="N55" s="13"/>
      <c r="O55" s="47"/>
      <c r="P55" s="13"/>
      <c r="Q55" s="13"/>
      <c r="R55" s="13"/>
      <c r="S55" s="13"/>
      <c r="T55" s="10"/>
      <c r="U55" s="10"/>
      <c r="V55" s="10"/>
      <c r="W55" s="10"/>
      <c r="X55" s="10"/>
    </row>
    <row r="56" spans="1:24" x14ac:dyDescent="0.2">
      <c r="A56" s="13"/>
      <c r="B56" s="13"/>
      <c r="C56" s="13"/>
      <c r="D56" s="13"/>
      <c r="E56" s="13"/>
      <c r="F56" s="13"/>
      <c r="G56" s="13"/>
      <c r="H56" s="13"/>
      <c r="I56" s="13"/>
      <c r="J56" s="13"/>
      <c r="K56" s="13"/>
      <c r="L56" s="13"/>
      <c r="M56" s="14"/>
      <c r="N56" s="13"/>
      <c r="O56" s="47"/>
      <c r="P56" s="13"/>
      <c r="Q56" s="13"/>
      <c r="R56" s="13"/>
      <c r="S56" s="13"/>
      <c r="T56" s="10"/>
      <c r="U56" s="10"/>
      <c r="V56" s="10"/>
      <c r="W56" s="10"/>
      <c r="X56" s="10"/>
    </row>
    <row r="57" spans="1:24" x14ac:dyDescent="0.2">
      <c r="A57" s="13"/>
      <c r="B57" s="13"/>
      <c r="C57" s="13"/>
      <c r="D57" s="13"/>
      <c r="E57" s="13"/>
      <c r="F57" s="13"/>
      <c r="G57" s="13"/>
      <c r="H57" s="13"/>
      <c r="I57" s="13"/>
      <c r="J57" s="13"/>
      <c r="K57" s="13"/>
      <c r="L57" s="13"/>
      <c r="M57" s="14"/>
      <c r="N57" s="13"/>
      <c r="O57" s="47"/>
      <c r="P57" s="13"/>
      <c r="Q57" s="13"/>
      <c r="R57" s="13"/>
      <c r="S57" s="13"/>
      <c r="T57" s="10"/>
      <c r="U57" s="10"/>
      <c r="V57" s="10"/>
      <c r="W57" s="10"/>
      <c r="X57" s="10"/>
    </row>
    <row r="58" spans="1:24" x14ac:dyDescent="0.2">
      <c r="A58" s="13"/>
      <c r="B58" s="13"/>
      <c r="C58" s="13"/>
      <c r="D58" s="13"/>
      <c r="E58" s="13"/>
      <c r="F58" s="13"/>
      <c r="G58" s="13"/>
      <c r="H58" s="13"/>
      <c r="I58" s="13"/>
      <c r="J58" s="13"/>
      <c r="K58" s="13"/>
      <c r="L58" s="13"/>
      <c r="M58" s="14"/>
      <c r="N58" s="13"/>
      <c r="O58" s="47"/>
      <c r="P58" s="13"/>
      <c r="Q58" s="13"/>
      <c r="R58" s="13"/>
      <c r="S58" s="13"/>
      <c r="T58" s="10"/>
      <c r="U58" s="10"/>
      <c r="V58" s="10"/>
      <c r="W58" s="10"/>
      <c r="X58" s="10"/>
    </row>
    <row r="59" spans="1:24" x14ac:dyDescent="0.2">
      <c r="A59" s="13"/>
      <c r="B59" s="13"/>
      <c r="C59" s="13"/>
      <c r="D59" s="13"/>
      <c r="E59" s="13"/>
      <c r="F59" s="13"/>
      <c r="G59" s="13"/>
      <c r="H59" s="13"/>
      <c r="I59" s="13"/>
      <c r="J59" s="13"/>
      <c r="K59" s="13"/>
      <c r="L59" s="13"/>
      <c r="M59" s="14"/>
      <c r="N59" s="13"/>
      <c r="O59" s="47"/>
      <c r="P59" s="13"/>
      <c r="Q59" s="13"/>
      <c r="R59" s="13"/>
      <c r="S59" s="13"/>
      <c r="T59" s="10"/>
      <c r="U59" s="10"/>
      <c r="V59" s="10"/>
      <c r="W59" s="10"/>
      <c r="X59" s="10"/>
    </row>
    <row r="60" spans="1:24" x14ac:dyDescent="0.2">
      <c r="A60" s="13"/>
      <c r="B60" s="13"/>
      <c r="C60" s="13"/>
      <c r="D60" s="13"/>
      <c r="E60" s="13"/>
      <c r="F60" s="13"/>
      <c r="G60" s="13"/>
      <c r="H60" s="13"/>
      <c r="I60" s="13"/>
      <c r="J60" s="13"/>
      <c r="K60" s="13"/>
      <c r="L60" s="13"/>
      <c r="M60" s="14"/>
      <c r="N60" s="13"/>
      <c r="O60" s="47"/>
      <c r="P60" s="13"/>
      <c r="Q60" s="13"/>
      <c r="R60" s="13"/>
      <c r="S60" s="13"/>
      <c r="T60" s="10"/>
      <c r="U60" s="10"/>
      <c r="V60" s="10"/>
      <c r="W60" s="10"/>
      <c r="X60" s="10"/>
    </row>
    <row r="61" spans="1:24" x14ac:dyDescent="0.2">
      <c r="A61" s="13"/>
      <c r="B61" s="13"/>
      <c r="C61" s="13"/>
      <c r="D61" s="13"/>
      <c r="E61" s="13"/>
      <c r="F61" s="13"/>
      <c r="G61" s="13"/>
      <c r="H61" s="13"/>
      <c r="I61" s="13"/>
      <c r="J61" s="13"/>
      <c r="K61" s="13"/>
      <c r="L61" s="13"/>
      <c r="M61" s="14"/>
      <c r="N61" s="13"/>
      <c r="O61" s="47"/>
      <c r="P61" s="13"/>
      <c r="Q61" s="13"/>
      <c r="R61" s="13"/>
      <c r="S61" s="13"/>
      <c r="T61" s="10"/>
      <c r="U61" s="10"/>
      <c r="V61" s="10"/>
      <c r="W61" s="10"/>
      <c r="X61" s="10"/>
    </row>
    <row r="62" spans="1:24" x14ac:dyDescent="0.2">
      <c r="A62" s="13"/>
      <c r="B62" s="13"/>
      <c r="C62" s="13"/>
      <c r="D62" s="13"/>
      <c r="E62" s="13"/>
      <c r="F62" s="13"/>
      <c r="G62" s="13"/>
      <c r="H62" s="13"/>
      <c r="I62" s="13"/>
      <c r="J62" s="13"/>
      <c r="K62" s="13"/>
      <c r="L62" s="13"/>
      <c r="M62" s="14"/>
      <c r="N62" s="13"/>
      <c r="O62" s="47"/>
      <c r="P62" s="13"/>
      <c r="Q62" s="13"/>
      <c r="R62" s="13"/>
      <c r="S62" s="13"/>
      <c r="T62" s="10"/>
      <c r="U62" s="10"/>
      <c r="V62" s="10"/>
      <c r="W62" s="10"/>
      <c r="X62" s="10"/>
    </row>
    <row r="63" spans="1:24" x14ac:dyDescent="0.2">
      <c r="A63" s="13"/>
      <c r="B63" s="13"/>
      <c r="C63" s="13"/>
      <c r="D63" s="13"/>
      <c r="E63" s="13"/>
      <c r="F63" s="13"/>
      <c r="G63" s="13"/>
      <c r="H63" s="13"/>
      <c r="I63" s="13"/>
      <c r="J63" s="13"/>
      <c r="K63" s="13"/>
      <c r="L63" s="13"/>
      <c r="M63" s="14"/>
      <c r="N63" s="13"/>
      <c r="O63" s="47"/>
      <c r="P63" s="13"/>
      <c r="Q63" s="13"/>
      <c r="R63" s="13"/>
      <c r="S63" s="13"/>
      <c r="T63" s="10"/>
      <c r="U63" s="10"/>
      <c r="V63" s="10"/>
      <c r="W63" s="10"/>
      <c r="X63" s="10"/>
    </row>
    <row r="64" spans="1:24" x14ac:dyDescent="0.2">
      <c r="A64" s="13"/>
      <c r="B64" s="13"/>
      <c r="C64" s="13"/>
      <c r="D64" s="13"/>
      <c r="E64" s="13"/>
      <c r="F64" s="13"/>
      <c r="G64" s="13"/>
      <c r="H64" s="13"/>
      <c r="I64" s="13"/>
      <c r="J64" s="13"/>
      <c r="K64" s="13"/>
      <c r="L64" s="13"/>
      <c r="M64" s="14"/>
      <c r="N64" s="13"/>
      <c r="O64" s="47"/>
      <c r="P64" s="13"/>
      <c r="Q64" s="13"/>
      <c r="R64" s="13"/>
      <c r="S64" s="13"/>
      <c r="T64" s="10"/>
      <c r="U64" s="10"/>
      <c r="V64" s="10"/>
      <c r="W64" s="10"/>
      <c r="X64" s="10"/>
    </row>
    <row r="65" spans="1:24" x14ac:dyDescent="0.2">
      <c r="A65" s="13"/>
      <c r="B65" s="13"/>
      <c r="C65" s="13"/>
      <c r="D65" s="13"/>
      <c r="E65" s="13"/>
      <c r="F65" s="13"/>
      <c r="G65" s="13"/>
      <c r="H65" s="13"/>
      <c r="I65" s="13"/>
      <c r="J65" s="13"/>
      <c r="K65" s="13"/>
      <c r="L65" s="13"/>
      <c r="M65" s="14"/>
      <c r="N65" s="13"/>
      <c r="O65" s="47"/>
      <c r="P65" s="13"/>
      <c r="Q65" s="13"/>
      <c r="R65" s="13"/>
      <c r="S65" s="13"/>
      <c r="T65" s="10"/>
      <c r="U65" s="10"/>
      <c r="V65" s="10"/>
      <c r="W65" s="10"/>
      <c r="X65" s="10"/>
    </row>
    <row r="66" spans="1:24" x14ac:dyDescent="0.2">
      <c r="A66" s="13"/>
      <c r="B66" s="13"/>
      <c r="C66" s="13"/>
      <c r="D66" s="13"/>
      <c r="E66" s="13"/>
      <c r="F66" s="13"/>
      <c r="G66" s="13"/>
      <c r="H66" s="13"/>
      <c r="I66" s="13"/>
      <c r="J66" s="13"/>
      <c r="K66" s="13"/>
      <c r="L66" s="13"/>
      <c r="M66" s="14"/>
      <c r="N66" s="13"/>
      <c r="O66" s="47"/>
      <c r="P66" s="13"/>
      <c r="Q66" s="13"/>
      <c r="R66" s="13"/>
      <c r="S66" s="13"/>
      <c r="T66" s="10"/>
      <c r="U66" s="10"/>
      <c r="V66" s="10"/>
      <c r="W66" s="10"/>
      <c r="X66" s="10"/>
    </row>
    <row r="67" spans="1:24" x14ac:dyDescent="0.2">
      <c r="A67" s="13"/>
      <c r="B67" s="13"/>
      <c r="C67" s="13"/>
      <c r="D67" s="13"/>
      <c r="E67" s="13"/>
      <c r="F67" s="13"/>
      <c r="G67" s="13"/>
      <c r="H67" s="13"/>
      <c r="I67" s="13"/>
      <c r="J67" s="13"/>
      <c r="K67" s="13"/>
      <c r="L67" s="13"/>
      <c r="M67" s="14"/>
      <c r="N67" s="13"/>
      <c r="O67" s="47"/>
      <c r="P67" s="13"/>
      <c r="Q67" s="13"/>
      <c r="R67" s="13"/>
      <c r="S67" s="13"/>
      <c r="T67" s="10"/>
      <c r="U67" s="10"/>
      <c r="V67" s="10"/>
      <c r="W67" s="10"/>
      <c r="X67" s="10"/>
    </row>
    <row r="68" spans="1:24" x14ac:dyDescent="0.2">
      <c r="A68" s="13"/>
      <c r="B68" s="13"/>
      <c r="C68" s="13"/>
      <c r="D68" s="13"/>
      <c r="E68" s="13"/>
      <c r="F68" s="13"/>
      <c r="G68" s="13"/>
      <c r="H68" s="13"/>
      <c r="I68" s="13"/>
      <c r="J68" s="13"/>
      <c r="K68" s="13"/>
      <c r="L68" s="13"/>
      <c r="M68" s="14"/>
      <c r="N68" s="13"/>
      <c r="O68" s="47"/>
      <c r="P68" s="13"/>
      <c r="Q68" s="13"/>
      <c r="R68" s="13"/>
      <c r="S68" s="13"/>
      <c r="T68" s="10"/>
      <c r="U68" s="10"/>
      <c r="V68" s="10"/>
      <c r="W68" s="10"/>
      <c r="X68" s="10"/>
    </row>
    <row r="69" spans="1:24" x14ac:dyDescent="0.2">
      <c r="A69" s="13"/>
      <c r="B69" s="13"/>
      <c r="C69" s="13"/>
      <c r="D69" s="13"/>
      <c r="E69" s="13"/>
      <c r="F69" s="13"/>
      <c r="G69" s="13"/>
      <c r="H69" s="13"/>
      <c r="I69" s="13"/>
      <c r="J69" s="13"/>
      <c r="K69" s="13"/>
      <c r="L69" s="13"/>
      <c r="M69" s="14"/>
      <c r="N69" s="13"/>
      <c r="O69" s="47"/>
      <c r="P69" s="13"/>
      <c r="Q69" s="13"/>
      <c r="R69" s="13"/>
      <c r="S69" s="13"/>
      <c r="T69" s="10"/>
      <c r="U69" s="10"/>
      <c r="V69" s="10"/>
      <c r="W69" s="10"/>
      <c r="X69" s="10"/>
    </row>
    <row r="70" spans="1:24" x14ac:dyDescent="0.2">
      <c r="A70" s="13"/>
      <c r="B70" s="13"/>
      <c r="C70" s="13"/>
      <c r="D70" s="13"/>
      <c r="E70" s="13"/>
      <c r="F70" s="13"/>
      <c r="G70" s="13"/>
      <c r="H70" s="13"/>
      <c r="I70" s="13"/>
      <c r="J70" s="13"/>
      <c r="K70" s="13"/>
      <c r="L70" s="13"/>
      <c r="M70" s="14"/>
      <c r="N70" s="13"/>
      <c r="O70" s="47"/>
      <c r="P70" s="13"/>
      <c r="Q70" s="13"/>
      <c r="R70" s="13"/>
      <c r="S70" s="13"/>
      <c r="T70" s="10"/>
      <c r="U70" s="10"/>
      <c r="V70" s="10"/>
      <c r="W70" s="10"/>
      <c r="X70" s="10"/>
    </row>
    <row r="71" spans="1:24" x14ac:dyDescent="0.2">
      <c r="A71" s="13"/>
      <c r="B71" s="13"/>
      <c r="C71" s="13"/>
      <c r="D71" s="13"/>
      <c r="E71" s="13"/>
      <c r="F71" s="13"/>
      <c r="G71" s="13"/>
      <c r="H71" s="13"/>
      <c r="I71" s="13"/>
      <c r="J71" s="13"/>
      <c r="K71" s="13"/>
      <c r="L71" s="13"/>
      <c r="M71" s="14"/>
      <c r="N71" s="13"/>
      <c r="O71" s="47"/>
      <c r="P71" s="13"/>
      <c r="Q71" s="13"/>
      <c r="R71" s="13"/>
      <c r="S71" s="13"/>
      <c r="T71" s="10"/>
      <c r="U71" s="10"/>
      <c r="V71" s="10"/>
      <c r="W71" s="10"/>
      <c r="X71" s="10"/>
    </row>
    <row r="72" spans="1:24" x14ac:dyDescent="0.2">
      <c r="A72" s="13"/>
      <c r="B72" s="13"/>
      <c r="C72" s="13"/>
      <c r="D72" s="13"/>
      <c r="E72" s="13"/>
      <c r="F72" s="13"/>
      <c r="G72" s="13"/>
      <c r="H72" s="13"/>
      <c r="I72" s="13"/>
      <c r="J72" s="13"/>
      <c r="K72" s="13"/>
      <c r="L72" s="13"/>
      <c r="M72" s="14"/>
      <c r="N72" s="13"/>
      <c r="O72" s="47"/>
      <c r="P72" s="13"/>
      <c r="Q72" s="13"/>
      <c r="R72" s="13"/>
      <c r="S72" s="13"/>
      <c r="T72" s="10"/>
      <c r="U72" s="10"/>
      <c r="V72" s="10"/>
      <c r="W72" s="10"/>
      <c r="X72" s="10"/>
    </row>
    <row r="73" spans="1:24" x14ac:dyDescent="0.2">
      <c r="A73" s="13"/>
      <c r="B73" s="13"/>
      <c r="C73" s="13"/>
      <c r="D73" s="13"/>
      <c r="E73" s="13"/>
      <c r="F73" s="13"/>
      <c r="G73" s="13"/>
      <c r="H73" s="13"/>
      <c r="I73" s="13"/>
      <c r="J73" s="13"/>
      <c r="K73" s="13"/>
      <c r="L73" s="13"/>
      <c r="M73" s="14"/>
      <c r="N73" s="13"/>
      <c r="O73" s="47"/>
      <c r="P73" s="13"/>
      <c r="Q73" s="13"/>
      <c r="R73" s="13"/>
      <c r="S73" s="13"/>
      <c r="T73" s="10"/>
      <c r="U73" s="10"/>
      <c r="V73" s="10"/>
      <c r="W73" s="10"/>
      <c r="X73" s="10"/>
    </row>
    <row r="74" spans="1:24" x14ac:dyDescent="0.2">
      <c r="A74" s="13"/>
      <c r="B74" s="13"/>
      <c r="C74" s="13"/>
      <c r="D74" s="13"/>
      <c r="E74" s="13"/>
      <c r="F74" s="13"/>
      <c r="G74" s="13"/>
      <c r="H74" s="13"/>
      <c r="I74" s="13"/>
      <c r="J74" s="13"/>
      <c r="K74" s="13"/>
      <c r="L74" s="13"/>
      <c r="M74" s="14"/>
      <c r="N74" s="13"/>
      <c r="O74" s="47"/>
      <c r="P74" s="13"/>
      <c r="Q74" s="13"/>
      <c r="R74" s="13"/>
      <c r="S74" s="13"/>
      <c r="T74" s="10"/>
      <c r="U74" s="10"/>
      <c r="V74" s="10"/>
      <c r="W74" s="10"/>
      <c r="X74" s="10"/>
    </row>
    <row r="75" spans="1:24" x14ac:dyDescent="0.2">
      <c r="A75" s="13"/>
      <c r="B75" s="13"/>
      <c r="C75" s="13"/>
      <c r="D75" s="13"/>
      <c r="E75" s="13"/>
      <c r="F75" s="13"/>
      <c r="G75" s="13"/>
      <c r="H75" s="13"/>
      <c r="I75" s="13"/>
      <c r="J75" s="13"/>
      <c r="K75" s="13"/>
      <c r="L75" s="13"/>
      <c r="M75" s="14"/>
      <c r="N75" s="13"/>
      <c r="O75" s="47"/>
      <c r="P75" s="13"/>
      <c r="Q75" s="13"/>
      <c r="R75" s="13"/>
      <c r="S75" s="13"/>
      <c r="T75" s="10"/>
      <c r="U75" s="10"/>
      <c r="V75" s="10"/>
      <c r="W75" s="10"/>
      <c r="X75" s="10"/>
    </row>
    <row r="76" spans="1:24" x14ac:dyDescent="0.2">
      <c r="A76" s="13"/>
      <c r="B76" s="13"/>
      <c r="C76" s="13"/>
      <c r="D76" s="13"/>
      <c r="E76" s="13"/>
      <c r="F76" s="13"/>
      <c r="G76" s="13"/>
      <c r="H76" s="13"/>
      <c r="I76" s="13"/>
      <c r="J76" s="13"/>
      <c r="K76" s="13"/>
      <c r="L76" s="13"/>
      <c r="M76" s="14"/>
      <c r="N76" s="13"/>
      <c r="O76" s="47"/>
      <c r="P76" s="13"/>
      <c r="Q76" s="13"/>
      <c r="R76" s="13"/>
      <c r="S76" s="13"/>
      <c r="T76" s="10"/>
      <c r="U76" s="10"/>
      <c r="V76" s="10"/>
      <c r="W76" s="10"/>
      <c r="X76" s="10"/>
    </row>
    <row r="77" spans="1:24" x14ac:dyDescent="0.2">
      <c r="A77" s="13"/>
      <c r="B77" s="13"/>
      <c r="C77" s="13"/>
      <c r="D77" s="13"/>
      <c r="E77" s="13"/>
      <c r="F77" s="13"/>
      <c r="G77" s="13"/>
      <c r="H77" s="13"/>
      <c r="I77" s="13"/>
      <c r="J77" s="13"/>
      <c r="K77" s="13"/>
      <c r="L77" s="13"/>
      <c r="M77" s="14"/>
      <c r="N77" s="13"/>
      <c r="O77" s="47"/>
      <c r="P77" s="13"/>
      <c r="Q77" s="13"/>
      <c r="R77" s="13"/>
      <c r="S77" s="13"/>
      <c r="T77" s="10"/>
      <c r="U77" s="10"/>
      <c r="V77" s="10"/>
      <c r="W77" s="10"/>
      <c r="X77" s="10"/>
    </row>
    <row r="78" spans="1:24" x14ac:dyDescent="0.2">
      <c r="A78" s="13"/>
      <c r="B78" s="13"/>
      <c r="C78" s="13"/>
      <c r="D78" s="13"/>
      <c r="E78" s="13"/>
      <c r="F78" s="13"/>
      <c r="G78" s="13"/>
      <c r="H78" s="13"/>
      <c r="I78" s="13"/>
      <c r="J78" s="13"/>
      <c r="K78" s="13"/>
      <c r="L78" s="13"/>
      <c r="M78" s="14"/>
      <c r="N78" s="13"/>
      <c r="O78" s="47"/>
      <c r="P78" s="13"/>
      <c r="Q78" s="13"/>
      <c r="R78" s="13"/>
      <c r="S78" s="13"/>
      <c r="T78" s="10"/>
      <c r="U78" s="10"/>
      <c r="V78" s="10"/>
      <c r="W78" s="10"/>
      <c r="X78" s="10"/>
    </row>
    <row r="79" spans="1:24" x14ac:dyDescent="0.2">
      <c r="A79" s="13"/>
      <c r="B79" s="13"/>
      <c r="C79" s="13"/>
      <c r="D79" s="13"/>
      <c r="E79" s="13"/>
      <c r="F79" s="13"/>
      <c r="G79" s="13"/>
      <c r="H79" s="13"/>
      <c r="I79" s="13"/>
      <c r="J79" s="13"/>
      <c r="K79" s="13"/>
      <c r="L79" s="13"/>
      <c r="M79" s="14"/>
      <c r="N79" s="13"/>
      <c r="O79" s="47"/>
      <c r="P79" s="13"/>
      <c r="Q79" s="13"/>
      <c r="R79" s="13"/>
      <c r="S79" s="13"/>
      <c r="T79" s="10"/>
      <c r="U79" s="10"/>
      <c r="V79" s="10"/>
      <c r="W79" s="10"/>
      <c r="X79" s="10"/>
    </row>
    <row r="80" spans="1:24" x14ac:dyDescent="0.2">
      <c r="A80" s="13"/>
      <c r="B80" s="13"/>
      <c r="C80" s="13"/>
      <c r="D80" s="13"/>
      <c r="E80" s="13"/>
      <c r="F80" s="13"/>
      <c r="G80" s="13"/>
      <c r="H80" s="13"/>
      <c r="I80" s="13"/>
      <c r="J80" s="13"/>
      <c r="K80" s="13"/>
      <c r="L80" s="13"/>
      <c r="M80" s="14"/>
      <c r="N80" s="13"/>
      <c r="O80" s="47"/>
      <c r="P80" s="13"/>
      <c r="Q80" s="13"/>
      <c r="R80" s="13"/>
      <c r="S80" s="13"/>
      <c r="T80" s="10"/>
      <c r="U80" s="10"/>
      <c r="V80" s="10"/>
      <c r="W80" s="10"/>
      <c r="X80" s="10"/>
    </row>
    <row r="81" spans="1:24" x14ac:dyDescent="0.2">
      <c r="A81" s="13"/>
      <c r="B81" s="13"/>
      <c r="C81" s="13"/>
      <c r="D81" s="13"/>
      <c r="E81" s="13"/>
      <c r="F81" s="13"/>
      <c r="G81" s="13"/>
      <c r="H81" s="13"/>
      <c r="I81" s="13"/>
      <c r="J81" s="13"/>
      <c r="K81" s="13"/>
      <c r="L81" s="13"/>
      <c r="M81" s="14"/>
      <c r="N81" s="13"/>
      <c r="O81" s="47"/>
      <c r="P81" s="13"/>
      <c r="Q81" s="13"/>
      <c r="R81" s="13"/>
      <c r="S81" s="13"/>
      <c r="T81" s="10"/>
      <c r="U81" s="10"/>
      <c r="V81" s="10"/>
      <c r="W81" s="10"/>
      <c r="X81" s="10"/>
    </row>
    <row r="82" spans="1:24" x14ac:dyDescent="0.2">
      <c r="A82" s="13"/>
      <c r="B82" s="13"/>
      <c r="C82" s="13"/>
      <c r="D82" s="13"/>
      <c r="E82" s="13"/>
      <c r="F82" s="13"/>
      <c r="G82" s="13"/>
      <c r="H82" s="13"/>
      <c r="I82" s="13"/>
      <c r="J82" s="13"/>
      <c r="K82" s="13"/>
      <c r="L82" s="13"/>
      <c r="M82" s="14"/>
      <c r="N82" s="13"/>
      <c r="O82" s="47"/>
      <c r="P82" s="13"/>
      <c r="Q82" s="13"/>
      <c r="R82" s="13"/>
      <c r="S82" s="13"/>
      <c r="T82" s="10"/>
      <c r="U82" s="10"/>
      <c r="V82" s="10"/>
      <c r="W82" s="10"/>
      <c r="X82" s="10"/>
    </row>
    <row r="83" spans="1:24" x14ac:dyDescent="0.2">
      <c r="A83" s="13"/>
      <c r="B83" s="13"/>
      <c r="C83" s="13"/>
      <c r="D83" s="13"/>
      <c r="E83" s="13"/>
      <c r="F83" s="13"/>
      <c r="G83" s="13"/>
      <c r="H83" s="13"/>
      <c r="I83" s="13"/>
      <c r="J83" s="13"/>
      <c r="K83" s="13"/>
      <c r="L83" s="13"/>
      <c r="M83" s="14"/>
      <c r="N83" s="13"/>
      <c r="O83" s="47"/>
      <c r="P83" s="13"/>
      <c r="Q83" s="13"/>
      <c r="R83" s="13"/>
      <c r="S83" s="13"/>
      <c r="T83" s="10"/>
      <c r="U83" s="10"/>
      <c r="V83" s="10"/>
      <c r="W83" s="10"/>
      <c r="X83" s="10"/>
    </row>
    <row r="84" spans="1:24" x14ac:dyDescent="0.2">
      <c r="A84" s="13"/>
      <c r="B84" s="13"/>
      <c r="C84" s="13"/>
      <c r="D84" s="13"/>
      <c r="E84" s="13"/>
      <c r="F84" s="13"/>
      <c r="G84" s="13"/>
      <c r="H84" s="13"/>
      <c r="I84" s="13"/>
      <c r="J84" s="13"/>
      <c r="K84" s="13"/>
      <c r="L84" s="13"/>
      <c r="M84" s="14"/>
      <c r="N84" s="13"/>
      <c r="O84" s="47"/>
      <c r="P84" s="13"/>
      <c r="Q84" s="13"/>
      <c r="R84" s="13"/>
      <c r="S84" s="13"/>
      <c r="T84" s="10"/>
      <c r="U84" s="10"/>
      <c r="V84" s="10"/>
      <c r="W84" s="10"/>
      <c r="X84" s="10"/>
    </row>
    <row r="85" spans="1:24" x14ac:dyDescent="0.2">
      <c r="A85" s="13"/>
      <c r="B85" s="13"/>
      <c r="C85" s="13"/>
      <c r="D85" s="13"/>
      <c r="E85" s="13"/>
      <c r="F85" s="13"/>
      <c r="G85" s="13"/>
      <c r="H85" s="13"/>
      <c r="I85" s="13"/>
      <c r="J85" s="13"/>
      <c r="K85" s="13"/>
      <c r="L85" s="13"/>
      <c r="M85" s="14"/>
      <c r="N85" s="13"/>
      <c r="O85" s="47"/>
      <c r="P85" s="13"/>
      <c r="Q85" s="13"/>
      <c r="R85" s="13"/>
      <c r="S85" s="13"/>
      <c r="T85" s="10"/>
      <c r="U85" s="10"/>
      <c r="V85" s="10"/>
      <c r="W85" s="10"/>
      <c r="X85" s="10"/>
    </row>
    <row r="86" spans="1:24" x14ac:dyDescent="0.2">
      <c r="A86" s="13"/>
      <c r="B86" s="13"/>
      <c r="C86" s="13"/>
      <c r="D86" s="13"/>
      <c r="E86" s="13"/>
      <c r="F86" s="13"/>
      <c r="G86" s="13"/>
      <c r="H86" s="13"/>
      <c r="I86" s="13"/>
      <c r="J86" s="13"/>
      <c r="K86" s="13"/>
      <c r="L86" s="13"/>
      <c r="M86" s="14"/>
      <c r="N86" s="13"/>
      <c r="O86" s="47"/>
      <c r="P86" s="13"/>
      <c r="Q86" s="13"/>
      <c r="R86" s="13"/>
      <c r="S86" s="13"/>
      <c r="T86" s="10"/>
      <c r="U86" s="10"/>
      <c r="V86" s="10"/>
      <c r="W86" s="10"/>
      <c r="X86" s="10"/>
    </row>
    <row r="87" spans="1:24" x14ac:dyDescent="0.2">
      <c r="A87" s="13"/>
      <c r="B87" s="13"/>
      <c r="C87" s="13"/>
      <c r="D87" s="13"/>
      <c r="E87" s="13"/>
      <c r="F87" s="13"/>
      <c r="G87" s="13"/>
      <c r="H87" s="13"/>
      <c r="I87" s="13"/>
      <c r="J87" s="13"/>
      <c r="K87" s="13"/>
      <c r="L87" s="13"/>
      <c r="M87" s="14"/>
      <c r="N87" s="13"/>
      <c r="O87" s="47"/>
      <c r="P87" s="13"/>
      <c r="Q87" s="13"/>
      <c r="R87" s="13"/>
      <c r="S87" s="13"/>
      <c r="T87" s="10"/>
      <c r="U87" s="10"/>
      <c r="V87" s="10"/>
      <c r="W87" s="10"/>
      <c r="X87" s="10"/>
    </row>
    <row r="88" spans="1:24" x14ac:dyDescent="0.2">
      <c r="A88" s="13"/>
      <c r="B88" s="13"/>
      <c r="C88" s="13"/>
      <c r="D88" s="13"/>
      <c r="E88" s="13"/>
      <c r="F88" s="13"/>
      <c r="G88" s="13"/>
      <c r="H88" s="13"/>
      <c r="I88" s="13"/>
      <c r="J88" s="13"/>
      <c r="K88" s="13"/>
      <c r="L88" s="13"/>
      <c r="M88" s="14"/>
      <c r="N88" s="13"/>
      <c r="O88" s="47"/>
      <c r="P88" s="13"/>
      <c r="Q88" s="13"/>
      <c r="R88" s="13"/>
      <c r="S88" s="13"/>
      <c r="T88" s="10"/>
      <c r="U88" s="10"/>
      <c r="V88" s="10"/>
      <c r="W88" s="10"/>
      <c r="X88" s="10"/>
    </row>
    <row r="89" spans="1:24" x14ac:dyDescent="0.2">
      <c r="A89" s="13"/>
      <c r="B89" s="13"/>
      <c r="C89" s="13"/>
      <c r="D89" s="13"/>
      <c r="E89" s="13"/>
      <c r="F89" s="13"/>
      <c r="G89" s="13"/>
      <c r="H89" s="13"/>
      <c r="I89" s="13"/>
      <c r="J89" s="13"/>
      <c r="K89" s="13"/>
      <c r="L89" s="13"/>
      <c r="M89" s="14"/>
      <c r="N89" s="13"/>
      <c r="O89" s="47"/>
      <c r="P89" s="13"/>
      <c r="Q89" s="13"/>
      <c r="R89" s="13"/>
      <c r="S89" s="13"/>
      <c r="T89" s="10"/>
      <c r="U89" s="10"/>
      <c r="V89" s="10"/>
      <c r="W89" s="10"/>
      <c r="X89" s="10"/>
    </row>
    <row r="90" spans="1:24" x14ac:dyDescent="0.2">
      <c r="A90" s="13"/>
      <c r="B90" s="13"/>
      <c r="C90" s="13"/>
      <c r="D90" s="13"/>
      <c r="E90" s="13"/>
      <c r="F90" s="13"/>
      <c r="G90" s="13"/>
      <c r="H90" s="13"/>
      <c r="I90" s="13"/>
      <c r="J90" s="13"/>
      <c r="K90" s="13"/>
      <c r="L90" s="13"/>
      <c r="M90" s="14"/>
      <c r="N90" s="13"/>
      <c r="O90" s="47"/>
      <c r="P90" s="13"/>
      <c r="Q90" s="13"/>
      <c r="R90" s="13"/>
      <c r="S90" s="13"/>
      <c r="T90" s="10"/>
      <c r="U90" s="10"/>
      <c r="V90" s="10"/>
      <c r="W90" s="10"/>
      <c r="X90" s="10"/>
    </row>
    <row r="91" spans="1:24" x14ac:dyDescent="0.2">
      <c r="A91" s="13"/>
      <c r="B91" s="13"/>
      <c r="C91" s="13"/>
      <c r="D91" s="13"/>
      <c r="E91" s="13"/>
      <c r="F91" s="13"/>
      <c r="G91" s="13"/>
      <c r="H91" s="13"/>
      <c r="I91" s="13"/>
      <c r="J91" s="13"/>
      <c r="K91" s="13"/>
      <c r="L91" s="13"/>
      <c r="M91" s="14"/>
      <c r="N91" s="13"/>
      <c r="O91" s="47"/>
      <c r="P91" s="13"/>
      <c r="Q91" s="13"/>
      <c r="R91" s="13"/>
      <c r="S91" s="13"/>
      <c r="T91" s="10"/>
      <c r="U91" s="10"/>
      <c r="V91" s="10"/>
      <c r="W91" s="10"/>
      <c r="X91" s="10"/>
    </row>
    <row r="92" spans="1:24" x14ac:dyDescent="0.2">
      <c r="A92" s="13"/>
      <c r="B92" s="13"/>
      <c r="C92" s="13"/>
      <c r="D92" s="13"/>
      <c r="E92" s="13"/>
      <c r="F92" s="13"/>
      <c r="G92" s="13"/>
      <c r="H92" s="13"/>
      <c r="I92" s="13"/>
      <c r="J92" s="13"/>
      <c r="K92" s="13"/>
      <c r="L92" s="13"/>
      <c r="M92" s="14"/>
      <c r="N92" s="13"/>
      <c r="O92" s="47"/>
      <c r="P92" s="13"/>
      <c r="Q92" s="13"/>
      <c r="R92" s="13"/>
      <c r="S92" s="13"/>
      <c r="T92" s="10"/>
      <c r="U92" s="10"/>
      <c r="V92" s="10"/>
      <c r="W92" s="10"/>
      <c r="X92" s="10"/>
    </row>
    <row r="93" spans="1:24" x14ac:dyDescent="0.2">
      <c r="A93" s="13"/>
      <c r="B93" s="13"/>
      <c r="C93" s="13"/>
      <c r="D93" s="13"/>
      <c r="E93" s="13"/>
      <c r="F93" s="13"/>
      <c r="G93" s="13"/>
      <c r="H93" s="13"/>
      <c r="I93" s="13"/>
      <c r="J93" s="13"/>
      <c r="K93" s="13"/>
      <c r="L93" s="13"/>
      <c r="M93" s="14"/>
      <c r="N93" s="13"/>
      <c r="O93" s="47"/>
      <c r="P93" s="13"/>
      <c r="Q93" s="13"/>
      <c r="R93" s="13"/>
      <c r="S93" s="13"/>
      <c r="T93" s="10"/>
      <c r="U93" s="10"/>
      <c r="V93" s="10"/>
      <c r="W93" s="10"/>
      <c r="X93" s="10"/>
    </row>
    <row r="94" spans="1:24" x14ac:dyDescent="0.2">
      <c r="A94" s="13"/>
      <c r="B94" s="13"/>
      <c r="C94" s="13"/>
      <c r="D94" s="13"/>
      <c r="E94" s="13"/>
      <c r="F94" s="13"/>
      <c r="G94" s="13"/>
      <c r="H94" s="13"/>
      <c r="I94" s="13"/>
      <c r="J94" s="13"/>
      <c r="K94" s="13"/>
      <c r="L94" s="13"/>
      <c r="M94" s="14"/>
      <c r="N94" s="13"/>
      <c r="O94" s="47"/>
      <c r="P94" s="13"/>
      <c r="Q94" s="13"/>
      <c r="R94" s="13"/>
      <c r="S94" s="13"/>
      <c r="T94" s="10"/>
      <c r="U94" s="10"/>
      <c r="V94" s="10"/>
      <c r="W94" s="10"/>
      <c r="X94" s="10"/>
    </row>
    <row r="95" spans="1:24" x14ac:dyDescent="0.2">
      <c r="A95" s="13"/>
      <c r="B95" s="13"/>
      <c r="C95" s="13"/>
      <c r="D95" s="13"/>
      <c r="E95" s="13"/>
      <c r="F95" s="13"/>
      <c r="G95" s="13"/>
      <c r="H95" s="13"/>
      <c r="I95" s="13"/>
      <c r="J95" s="13"/>
      <c r="K95" s="13"/>
      <c r="L95" s="13"/>
      <c r="M95" s="14"/>
      <c r="N95" s="13"/>
      <c r="O95" s="47"/>
      <c r="P95" s="13"/>
      <c r="Q95" s="13"/>
      <c r="R95" s="13"/>
      <c r="S95" s="13"/>
      <c r="T95" s="10"/>
      <c r="U95" s="10"/>
      <c r="V95" s="10"/>
      <c r="W95" s="10"/>
      <c r="X95" s="10"/>
    </row>
    <row r="96" spans="1:24" x14ac:dyDescent="0.2">
      <c r="A96" s="13"/>
      <c r="B96" s="13"/>
      <c r="C96" s="13"/>
      <c r="D96" s="13"/>
      <c r="E96" s="13"/>
      <c r="F96" s="13"/>
      <c r="G96" s="13"/>
      <c r="H96" s="13"/>
      <c r="I96" s="13"/>
      <c r="J96" s="13"/>
      <c r="K96" s="13"/>
      <c r="L96" s="13"/>
      <c r="M96" s="14"/>
      <c r="N96" s="13"/>
      <c r="O96" s="47"/>
      <c r="P96" s="13"/>
      <c r="Q96" s="13"/>
      <c r="R96" s="13"/>
      <c r="S96" s="13"/>
      <c r="T96" s="10"/>
      <c r="U96" s="10"/>
      <c r="V96" s="10"/>
      <c r="W96" s="10"/>
      <c r="X96" s="10"/>
    </row>
    <row r="97" spans="1:24" x14ac:dyDescent="0.2">
      <c r="A97" s="13"/>
      <c r="B97" s="13"/>
      <c r="C97" s="13"/>
      <c r="D97" s="13"/>
      <c r="E97" s="13"/>
      <c r="F97" s="13"/>
      <c r="G97" s="13"/>
      <c r="H97" s="13"/>
      <c r="I97" s="13"/>
      <c r="J97" s="13"/>
      <c r="K97" s="13"/>
      <c r="L97" s="13"/>
      <c r="M97" s="14"/>
      <c r="N97" s="13"/>
      <c r="O97" s="47"/>
      <c r="P97" s="13"/>
      <c r="Q97" s="13"/>
      <c r="R97" s="13"/>
      <c r="S97" s="13"/>
      <c r="T97" s="10"/>
      <c r="U97" s="10"/>
      <c r="V97" s="10"/>
      <c r="W97" s="10"/>
      <c r="X97" s="10"/>
    </row>
    <row r="98" spans="1:24" x14ac:dyDescent="0.2">
      <c r="A98" s="13"/>
      <c r="B98" s="13"/>
      <c r="C98" s="13"/>
      <c r="D98" s="13"/>
      <c r="E98" s="13"/>
      <c r="F98" s="13"/>
      <c r="G98" s="13"/>
      <c r="H98" s="13"/>
      <c r="I98" s="13"/>
      <c r="J98" s="13"/>
      <c r="K98" s="13"/>
      <c r="L98" s="13"/>
      <c r="M98" s="14"/>
      <c r="N98" s="13"/>
      <c r="O98" s="47"/>
      <c r="P98" s="13"/>
      <c r="Q98" s="13"/>
      <c r="R98" s="13"/>
      <c r="S98" s="13"/>
      <c r="T98" s="10"/>
      <c r="U98" s="10"/>
      <c r="V98" s="10"/>
      <c r="W98" s="10"/>
      <c r="X98" s="10"/>
    </row>
    <row r="99" spans="1:24" x14ac:dyDescent="0.2">
      <c r="A99" s="13"/>
      <c r="B99" s="13"/>
      <c r="C99" s="13"/>
      <c r="D99" s="13"/>
      <c r="E99" s="13"/>
      <c r="F99" s="13"/>
      <c r="G99" s="13"/>
      <c r="H99" s="13"/>
      <c r="I99" s="13"/>
      <c r="J99" s="13"/>
      <c r="K99" s="13"/>
      <c r="L99" s="13"/>
      <c r="M99" s="14"/>
      <c r="N99" s="13"/>
      <c r="O99" s="47"/>
      <c r="P99" s="13"/>
      <c r="Q99" s="13"/>
      <c r="R99" s="13"/>
      <c r="S99" s="13"/>
      <c r="T99" s="10"/>
      <c r="U99" s="10"/>
      <c r="V99" s="10"/>
      <c r="W99" s="10"/>
      <c r="X99" s="10"/>
    </row>
    <row r="100" spans="1:24" x14ac:dyDescent="0.2">
      <c r="A100" s="13"/>
      <c r="B100" s="13"/>
      <c r="C100" s="13"/>
      <c r="D100" s="13"/>
      <c r="E100" s="13"/>
      <c r="F100" s="13"/>
      <c r="G100" s="13"/>
      <c r="H100" s="13"/>
      <c r="I100" s="13"/>
      <c r="J100" s="13"/>
      <c r="K100" s="13"/>
      <c r="L100" s="13"/>
      <c r="M100" s="14"/>
      <c r="N100" s="13"/>
      <c r="O100" s="47"/>
      <c r="P100" s="13"/>
      <c r="Q100" s="13"/>
      <c r="R100" s="13"/>
      <c r="S100" s="13"/>
      <c r="T100" s="10"/>
      <c r="U100" s="10"/>
      <c r="V100" s="10"/>
      <c r="W100" s="10"/>
      <c r="X100" s="10"/>
    </row>
  </sheetData>
  <sheetProtection sheet="1" objects="1" scenarios="1" formatColumns="0" formatRows="0" insertRows="0" deleteRows="0"/>
  <conditionalFormatting sqref="A2:A100">
    <cfRule type="expression" dxfId="97" priority="24" stopIfTrue="1">
      <formula>AND(NOT(ISBLANK(A2)), COUNTIF(publiRefs,A2)=0)</formula>
    </cfRule>
    <cfRule type="expression" dxfId="96" priority="25" stopIfTrue="1">
      <formula>AND(ISBLANK(A2), COUNTA(A2:S2))</formula>
    </cfRule>
  </conditionalFormatting>
  <conditionalFormatting sqref="B2:B100">
    <cfRule type="expression" dxfId="95" priority="22" stopIfTrue="1">
      <formula>AND(NOT(ISBLANK(B2)), COUNTIF(ingredientsRefs,B2)=0)</formula>
    </cfRule>
    <cfRule type="expression" dxfId="94" priority="23" stopIfTrue="1">
      <formula>AND(ISBLANK(B2), COUNTA(A2:S2))</formula>
    </cfRule>
  </conditionalFormatting>
  <conditionalFormatting sqref="C2:C100">
    <cfRule type="expression" dxfId="93" priority="20" stopIfTrue="1">
      <formula>AND(NOT(ISBLANK(C2)), COUNTIF(testedEntitiesList,C2)=0)</formula>
    </cfRule>
    <cfRule type="expression" dxfId="92" priority="21" stopIfTrue="1">
      <formula>AND(ISBLANK(C2), COUNTA(A2:S2))</formula>
    </cfRule>
  </conditionalFormatting>
  <conditionalFormatting sqref="D2:D100">
    <cfRule type="expression" dxfId="91" priority="17" stopIfTrue="1">
      <formula>AND(NOT(ISBLANK(D2)), COUNTIF(extractionSolventList,D2)=0)</formula>
    </cfRule>
    <cfRule type="expression" dxfId="90" priority="18" stopIfTrue="1">
      <formula>AND(C2&lt;&gt;INDEX(testedEntitiesList,1), NOT(ISBLANK(D2)))</formula>
    </cfRule>
    <cfRule type="expression" dxfId="89" priority="19" stopIfTrue="1">
      <formula>AND(C2&lt;&gt;INDEX(testedEntitiesList,1), COUNTA(A2:S2))</formula>
    </cfRule>
  </conditionalFormatting>
  <conditionalFormatting sqref="F2:F100">
    <cfRule type="expression" dxfId="88" priority="15" stopIfTrue="1">
      <formula>AND(C2&lt;&gt;INDEX(testedEntitiesList,3), NOT(ISBLANK(F2)))</formula>
    </cfRule>
    <cfRule type="expression" dxfId="87" priority="16" stopIfTrue="1">
      <formula>AND(C2&lt;&gt;INDEX(testedEntitiesList,3), COUNTA(A2:S2))</formula>
    </cfRule>
  </conditionalFormatting>
  <conditionalFormatting sqref="G2:G100">
    <cfRule type="expression" dxfId="86" priority="13" stopIfTrue="1">
      <formula>AND(ISBLANK(G2), COUNTA(A2:S2))</formula>
    </cfRule>
    <cfRule type="expression" dxfId="85" priority="14" stopIfTrue="1">
      <formula>AND(NOT(ISBLANK(G2)), COUNTIF(inVivoScreeningTestList,G2)=0)</formula>
    </cfRule>
  </conditionalFormatting>
  <conditionalFormatting sqref="H2:H100">
    <cfRule type="expression" dxfId="84" priority="12" stopIfTrue="1">
      <formula>AND(ISBLANK(H2), COUNTA(A2:S2))</formula>
    </cfRule>
  </conditionalFormatting>
  <conditionalFormatting sqref="K2:K100">
    <cfRule type="expression" dxfId="83" priority="11" stopIfTrue="1">
      <formula>AND(NOT(ISBLANK(K2)), COUNTIF(treatmentRouteList,K2)=0)</formula>
    </cfRule>
  </conditionalFormatting>
  <conditionalFormatting sqref="L2:L100">
    <cfRule type="expression" dxfId="82" priority="10" stopIfTrue="1">
      <formula>AND(OR(NOT(ISNUMBER(L2)),L2&lt;0,L2&gt;1000000,IFERROR(INT(L2*10000)/10000&lt;&gt;L2,TRUE)), COUNTA(A2:S2), NOT(ISBLANK(L2)))</formula>
    </cfRule>
  </conditionalFormatting>
  <conditionalFormatting sqref="M2:M100">
    <cfRule type="expression" dxfId="81" priority="9" stopIfTrue="1">
      <formula>AND(OR(NOT(ISNUMBER(M2)),M2&lt;0,M2&gt;100,IFERROR(INT(M2*100)/100&lt;&gt;M2,TRUE)), COUNTA(A2:S2), NOT(ISBLANK(M2)))</formula>
    </cfRule>
  </conditionalFormatting>
  <conditionalFormatting sqref="N2:N100">
    <cfRule type="expression" dxfId="80" priority="8" stopIfTrue="1">
      <formula>AND(OR(NOT(ISNUMBER(N2)),N2&lt;0,N2&gt;100,IFERROR(INT(N2*100)/100&lt;&gt;N2,TRUE)), COUNTA(A2:S2), NOT(ISBLANK(N2)))</formula>
    </cfRule>
  </conditionalFormatting>
  <conditionalFormatting sqref="O2:O100">
    <cfRule type="expression" dxfId="79" priority="7" stopIfTrue="1">
      <formula>AND(OR(NOT(ISNUMBER(O2)),O2&lt;0,O2&gt;1000000,IFERROR(INT(O2*10000)/10000&lt;&gt;O2,TRUE)), COUNTA(A2:S2), NOT(ISBLANK(O2)))</formula>
    </cfRule>
  </conditionalFormatting>
  <conditionalFormatting sqref="P2:P100">
    <cfRule type="expression" dxfId="78" priority="6" stopIfTrue="1">
      <formula>AND(OR(NOT(ISNUMBER(P2)),P2&lt;0,P2&gt;1000000,IFERROR(INT(P2*10000)/10000&lt;&gt;P2,TRUE)), COUNTA(A2:S2), NOT(ISBLANK(P2)))</formula>
    </cfRule>
  </conditionalFormatting>
  <conditionalFormatting sqref="Q2:Q100">
    <cfRule type="expression" dxfId="77" priority="5" stopIfTrue="1">
      <formula>AND(ISBLANK(Q2), COUNTA(A2:S2))</formula>
    </cfRule>
  </conditionalFormatting>
  <conditionalFormatting sqref="Q2:Q100">
    <cfRule type="expression" dxfId="76" priority="4" stopIfTrue="1">
      <formula>AND(NOT(ISBLANK(Q2)), COUNTIF(yesNo,Q2)=0)</formula>
    </cfRule>
  </conditionalFormatting>
  <conditionalFormatting sqref="R2:R100">
    <cfRule type="expression" dxfId="75" priority="3" stopIfTrue="1">
      <formula>AND(Q2&lt;&gt;INDEX(yesNo,1), COUNTA(A2:S2))</formula>
    </cfRule>
  </conditionalFormatting>
  <conditionalFormatting sqref="R2:R100">
    <cfRule type="expression" dxfId="74" priority="2" stopIfTrue="1">
      <formula>AND(Q2&lt;&gt;INDEX(yesNo,1), NOT(ISBLANK(R2)))</formula>
    </cfRule>
  </conditionalFormatting>
  <conditionalFormatting sqref="R2:R100">
    <cfRule type="expression" dxfId="73" priority="1" stopIfTrue="1">
      <formula>AND(OR(NOT(ISNUMBER(R2)),R2&lt;0,R2&gt;1000000,IFERROR(INT(R2*10000)/10000&lt;&gt;R2,TRUE)), COUNTA(A2:S2), NOT(ISBLANK(R2)))</formula>
    </cfRule>
  </conditionalFormatting>
  <dataValidations xWindow="279" yWindow="160" count="18">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s)" error="Only the values in the list are valids." promptTitle="Plant ingredient(s)" prompt="Select a combinaison of plant ingredients by clicking on the dropdown arrow." sqref="B2:B100">
      <formula1>ingredientsRefs</formula1>
    </dataValidation>
    <dataValidation type="list" errorStyle="warning" allowBlank="1" showInputMessage="1" showErrorMessage="1" errorTitle="Error: Tested entity" error="Only the values in the list are valids." promptTitle="Tested entity" prompt="Select an entity by clicking on the dropdown arrow." sqref="C2:C100">
      <formula1>testedEntitiesList</formula1>
    </dataValidation>
    <dataValidation type="list" errorStyle="warning" allowBlank="1" showInputMessage="1" showErrorMessage="1" errorTitle="Error: Extraction solvent" error="Only the values in the list are valids." promptTitle="Extraction solvent" prompt="Only if Tested entity is 'Extract'._x000a__x000a_Select an entity by clicking on the dropdown arrow." sqref="D2:D100">
      <formula1>extractionSolventList</formula1>
    </dataValidation>
    <dataValidation errorStyle="warning" allowBlank="1" showInputMessage="1" promptTitle="Additive product" sqref="E2:E100"/>
    <dataValidation type="custom" errorStyle="warning" allowBlank="1" showInputMessage="1" showErrorMessage="1" errorTitle="Error: Compound name" error="No value accepted when the Tested entity is not 'Compound'." promptTitle="Compound name" prompt="Only if Tested entity is 'Compound'." sqref="F2:F100">
      <formula1>C2="Compound"</formula1>
    </dataValidation>
    <dataValidation type="list" errorStyle="warning" allowBlank="1" showInputMessage="1" showErrorMessage="1" errorTitle="Error: Screening test" error="Only the dropdown list values are valids." promptTitle="Screening test" prompt="Select a screening test by clicking on the dropdown arrow." sqref="G2:G100">
      <formula1>inVivoScreeningTestList</formula1>
    </dataValidation>
    <dataValidation errorStyle="warning" allowBlank="1" showInputMessage="1" promptTitle="Parasite" prompt="Enter the parasite species : genus and specific epithet (genus has his first letter capitalized, the specific epithet is uncapitalized)." sqref="H2:H100"/>
    <dataValidation errorStyle="warning" allowBlank="1" showInputMessage="1" promptTitle="Parasite details" prompt="Please enter the available information : strain, drug-sensitive properties and parasite origin." sqref="I2:I100"/>
    <dataValidation type="list" errorStyle="warning" allowBlank="1" showInputMessage="1" showErrorMessage="1" errorTitle="Error: Treatment route" error="Only the dropdown list values are valids." promptTitle="Treatment route" prompt="Select a route by clicking on the dropdown arrow." sqref="K2:K100">
      <formula1>treatmentRouteList</formula1>
    </dataValidation>
    <dataValidation type="decimal" errorStyle="warning" allowBlank="1" showInputMessage="1" showErrorMessage="1" errorTitle="Error: Dose" error="Only a floating point number between 0 and 1000000 is accepted." promptTitle="Dose" prompt="The floating point number must have a maximum of 4 digits after the point." sqref="L2:L100">
      <formula1>0</formula1>
      <formula2>1000000</formula2>
    </dataValidation>
    <dataValidation type="decimal" errorStyle="warning" allowBlank="1" showInputMessage="1" showErrorMessage="1" errorTitle="Error: Inhibition" error="Only a floating point number between 0 and 100 is accepted." promptTitle="Inhibition" prompt="The floating point number must have a maximum of 2 digits after the point." sqref="M2:M100">
      <formula1>0</formula1>
      <formula2>100</formula2>
    </dataValidation>
    <dataValidation type="decimal" errorStyle="warning" allowBlank="1" showInputMessage="1" showErrorMessage="1" errorTitle="Error: Survival percent" error="Only a floating point number between 0 and 100 is accepted." promptTitle="Survival percent" prompt="The floating point number must have a maximum of 2 digits after the point._x000a__x000a_For a group of mice introduced, please enter the percent of living mice at the end of the experiment." sqref="N2:N100">
      <formula1>0</formula1>
      <formula2>100</formula2>
    </dataValidation>
    <dataValidation type="decimal" errorStyle="warning" allowBlank="1" showInputMessage="1" showErrorMessage="1" errorTitle="Error: Survival time" error="Only a floating point number between 0 and 1000000 is accepted." promptTitle="Survival time" prompt="The floating point number must have a maximum of 4 digits after the point." sqref="O2:O100">
      <formula1>0</formula1>
      <formula2>1000000</formula2>
    </dataValidation>
    <dataValidation type="decimal" errorStyle="warning" allowBlank="1" showInputMessage="1" showErrorMessage="1" errorTitle="Error: ED50" error="Only a floating point number between 0 and 1000000 is accepted." promptTitle="ED50" prompt="The floating point number must have a maximum of 4 digits after the point." sqref="P2:P100">
      <formula1>0</formula1>
      <formula2>1000000</formula2>
    </dataValidation>
    <dataValidation type="list" errorStyle="warning" allowBlank="1" showInputMessage="1" showErrorMessage="1" errorTitle="Error: Toxicity" error="Only Yes or No are valids." promptTitle="Toxicity" prompt="Tell if some toxicity test is included in the paper by clicking on the dropdown arrow." sqref="Q2:Q100">
      <formula1>yesNo</formula1>
    </dataValidation>
    <dataValidation type="decimal" errorStyle="warning" allowBlank="1" showInputMessage="1" showErrorMessage="1" errorTitle="Error: LD50" error="Only a floating point number between 0 and 1000000 is accepted." promptTitle="LD50" prompt="The floating point number must have a maximum of 4 digits after the point." sqref="R2:R100">
      <formula1>0</formula1>
      <formula2>1000000</formula2>
    </dataValidation>
    <dataValidation errorStyle="warning" allowBlank="1" showInputMessage="1" promptTitle="Experimental observations" sqref="S2:S100"/>
  </dataValidation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Roman,Normal"&amp;A</oddHeader>
    <oddFooter>&amp;C&amp;"Times New Roman,Normal"Page &amp;P</oddFoot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100"/>
  <sheetViews>
    <sheetView tabSelected="1" zoomScale="115" zoomScaleNormal="115" workbookViewId="0">
      <selection activeCell="D2" sqref="D2"/>
    </sheetView>
  </sheetViews>
  <sheetFormatPr defaultColWidth="10.5703125" defaultRowHeight="12.75" x14ac:dyDescent="0.2"/>
  <cols>
    <col min="1" max="1" width="62.28515625" style="33" customWidth="1"/>
    <col min="2" max="2" width="59.7109375" style="33" customWidth="1"/>
    <col min="3" max="3" width="10.5703125" style="36"/>
    <col min="4" max="4" width="14.140625" style="36" customWidth="1"/>
    <col min="5" max="5" width="12.28515625" style="36" customWidth="1"/>
    <col min="6" max="6" width="16.140625" style="33" customWidth="1"/>
    <col min="7" max="7" width="16" style="33" customWidth="1"/>
    <col min="8" max="9" width="20.140625" style="33" customWidth="1"/>
    <col min="10" max="10" width="21.5703125" style="33" customWidth="1"/>
    <col min="11" max="11" width="16.7109375" style="33" customWidth="1"/>
    <col min="12" max="12" width="13.28515625" style="34" customWidth="1"/>
    <col min="13" max="13" width="17.85546875" style="46" customWidth="1"/>
    <col min="14" max="14" width="15.28515625" style="46" customWidth="1"/>
    <col min="15" max="15" width="8.7109375" style="34" customWidth="1"/>
    <col min="16" max="16" width="9.85546875" style="46" customWidth="1"/>
    <col min="17" max="17" width="51.28515625" style="36" customWidth="1"/>
    <col min="18" max="18" width="10.7109375" style="28" customWidth="1"/>
    <col min="19" max="19" width="10.5703125" style="28"/>
    <col min="20" max="16384" width="10.5703125" style="10"/>
  </cols>
  <sheetData>
    <row r="1" spans="1:19" ht="47.25" customHeight="1" x14ac:dyDescent="0.2">
      <c r="A1" s="52" t="s">
        <v>620</v>
      </c>
      <c r="B1" s="43" t="s">
        <v>613</v>
      </c>
      <c r="C1" s="40" t="s">
        <v>579</v>
      </c>
      <c r="D1" s="43" t="s">
        <v>615</v>
      </c>
      <c r="E1" s="43" t="s">
        <v>614</v>
      </c>
      <c r="F1" s="40" t="s">
        <v>583</v>
      </c>
      <c r="G1" s="40" t="s">
        <v>581</v>
      </c>
      <c r="H1" s="40" t="s">
        <v>580</v>
      </c>
      <c r="I1" s="40" t="s">
        <v>576</v>
      </c>
      <c r="J1" s="40" t="s">
        <v>11</v>
      </c>
      <c r="K1" s="53" t="s">
        <v>575</v>
      </c>
      <c r="L1" s="54" t="s">
        <v>566</v>
      </c>
      <c r="M1" s="54" t="s">
        <v>561</v>
      </c>
      <c r="N1" s="53" t="s">
        <v>565</v>
      </c>
      <c r="O1" s="54" t="s">
        <v>559</v>
      </c>
      <c r="P1" s="53" t="s">
        <v>573</v>
      </c>
      <c r="Q1" s="54" t="s">
        <v>610</v>
      </c>
      <c r="R1" s="10"/>
      <c r="S1" s="10"/>
    </row>
    <row r="2" spans="1:19" ht="38.25" x14ac:dyDescent="0.2">
      <c r="A2" s="4" t="s">
        <v>719</v>
      </c>
      <c r="B2" s="4" t="s">
        <v>782</v>
      </c>
      <c r="C2" s="4" t="s">
        <v>673</v>
      </c>
      <c r="D2" s="4" t="s">
        <v>678</v>
      </c>
      <c r="E2" s="20"/>
      <c r="F2" s="4"/>
      <c r="G2" s="4" t="s">
        <v>633</v>
      </c>
      <c r="H2" s="21" t="s">
        <v>794</v>
      </c>
      <c r="I2" s="21" t="s">
        <v>800</v>
      </c>
      <c r="J2" s="13" t="s">
        <v>801</v>
      </c>
      <c r="K2" s="25" t="s">
        <v>671</v>
      </c>
      <c r="L2" s="25">
        <v>100</v>
      </c>
      <c r="M2" s="25">
        <v>90</v>
      </c>
      <c r="N2" s="39"/>
      <c r="O2" s="15"/>
      <c r="P2" s="39"/>
      <c r="Q2" s="16"/>
      <c r="R2" s="44"/>
      <c r="S2" s="10"/>
    </row>
    <row r="3" spans="1:19" ht="38.25" x14ac:dyDescent="0.2">
      <c r="A3" s="4" t="s">
        <v>719</v>
      </c>
      <c r="B3" s="4" t="s">
        <v>782</v>
      </c>
      <c r="C3" s="4" t="s">
        <v>673</v>
      </c>
      <c r="D3" s="4" t="s">
        <v>678</v>
      </c>
      <c r="E3" s="4"/>
      <c r="F3" s="4"/>
      <c r="G3" s="4"/>
      <c r="H3" s="21"/>
      <c r="I3" s="21"/>
      <c r="J3" s="21" t="s">
        <v>801</v>
      </c>
      <c r="K3" s="14" t="s">
        <v>670</v>
      </c>
      <c r="L3" s="14"/>
      <c r="M3" s="25"/>
      <c r="N3" s="17"/>
      <c r="O3" s="15" t="s">
        <v>704</v>
      </c>
      <c r="P3" s="17">
        <v>253</v>
      </c>
      <c r="Q3" s="16" t="s">
        <v>802</v>
      </c>
      <c r="R3" s="10"/>
      <c r="S3" s="10"/>
    </row>
    <row r="4" spans="1:19" x14ac:dyDescent="0.2">
      <c r="A4" s="13"/>
      <c r="B4" s="13"/>
      <c r="C4" s="13"/>
      <c r="D4" s="13"/>
      <c r="E4" s="13"/>
      <c r="F4" s="13"/>
      <c r="G4" s="13"/>
      <c r="H4" s="13"/>
      <c r="I4" s="13"/>
      <c r="J4" s="13"/>
      <c r="K4" s="14"/>
      <c r="L4" s="14"/>
      <c r="M4" s="14"/>
      <c r="N4" s="14"/>
      <c r="O4" s="15"/>
      <c r="P4" s="14"/>
      <c r="Q4" s="14"/>
      <c r="R4" s="10"/>
      <c r="S4" s="10"/>
    </row>
    <row r="5" spans="1:19" x14ac:dyDescent="0.2">
      <c r="A5" s="13"/>
      <c r="B5" s="13"/>
      <c r="C5" s="13"/>
      <c r="D5" s="13"/>
      <c r="E5" s="13"/>
      <c r="F5" s="13"/>
      <c r="G5" s="13"/>
      <c r="H5" s="13"/>
      <c r="I5" s="13"/>
      <c r="J5" s="13"/>
      <c r="K5" s="14"/>
      <c r="L5" s="14"/>
      <c r="M5" s="14"/>
      <c r="N5" s="14"/>
      <c r="O5" s="15"/>
      <c r="P5" s="14"/>
      <c r="Q5" s="14"/>
      <c r="R5" s="10"/>
      <c r="S5" s="10"/>
    </row>
    <row r="6" spans="1:19" x14ac:dyDescent="0.2">
      <c r="A6" s="13"/>
      <c r="B6" s="13"/>
      <c r="C6" s="13"/>
      <c r="D6" s="13"/>
      <c r="E6" s="13"/>
      <c r="F6" s="13"/>
      <c r="G6" s="13"/>
      <c r="H6" s="13"/>
      <c r="I6" s="13"/>
      <c r="J6" s="13"/>
      <c r="K6" s="14"/>
      <c r="L6" s="14"/>
      <c r="M6" s="14"/>
      <c r="N6" s="14"/>
      <c r="O6" s="15"/>
      <c r="P6" s="14"/>
      <c r="Q6" s="14"/>
      <c r="R6" s="10"/>
      <c r="S6" s="10"/>
    </row>
    <row r="7" spans="1:19" x14ac:dyDescent="0.2">
      <c r="A7" s="13"/>
      <c r="B7" s="13"/>
      <c r="C7" s="13"/>
      <c r="D7" s="13"/>
      <c r="E7" s="13"/>
      <c r="F7" s="13"/>
      <c r="G7" s="13"/>
      <c r="H7" s="13"/>
      <c r="I7" s="13"/>
      <c r="J7" s="13"/>
      <c r="K7" s="14"/>
      <c r="L7" s="14"/>
      <c r="M7" s="14"/>
      <c r="N7" s="14"/>
      <c r="O7" s="15"/>
      <c r="P7" s="14"/>
      <c r="Q7" s="14"/>
      <c r="R7" s="10"/>
      <c r="S7" s="10"/>
    </row>
    <row r="8" spans="1:19" x14ac:dyDescent="0.2">
      <c r="A8" s="13"/>
      <c r="B8" s="13"/>
      <c r="C8" s="13"/>
      <c r="D8" s="13"/>
      <c r="E8" s="13"/>
      <c r="F8" s="13"/>
      <c r="G8" s="13"/>
      <c r="H8" s="13"/>
      <c r="I8" s="13"/>
      <c r="J8" s="13"/>
      <c r="K8" s="14"/>
      <c r="L8" s="14"/>
      <c r="M8" s="14"/>
      <c r="N8" s="14"/>
      <c r="O8" s="15"/>
      <c r="P8" s="14"/>
      <c r="Q8" s="14"/>
      <c r="R8" s="10"/>
      <c r="S8" s="10"/>
    </row>
    <row r="9" spans="1:19" x14ac:dyDescent="0.2">
      <c r="A9" s="13"/>
      <c r="B9" s="13"/>
      <c r="C9" s="13"/>
      <c r="D9" s="13"/>
      <c r="E9" s="13"/>
      <c r="F9" s="13"/>
      <c r="G9" s="13"/>
      <c r="H9" s="13"/>
      <c r="I9" s="13"/>
      <c r="J9" s="13"/>
      <c r="K9" s="14"/>
      <c r="L9" s="14"/>
      <c r="M9" s="14"/>
      <c r="N9" s="14"/>
      <c r="O9" s="15"/>
      <c r="P9" s="14"/>
      <c r="Q9" s="14"/>
      <c r="R9" s="10"/>
      <c r="S9" s="10"/>
    </row>
    <row r="10" spans="1:19" x14ac:dyDescent="0.2">
      <c r="A10" s="13"/>
      <c r="B10" s="13"/>
      <c r="C10" s="13"/>
      <c r="D10" s="13"/>
      <c r="E10" s="13"/>
      <c r="F10" s="13"/>
      <c r="G10" s="13"/>
      <c r="H10" s="13"/>
      <c r="I10" s="13"/>
      <c r="J10" s="13"/>
      <c r="K10" s="14"/>
      <c r="L10" s="14"/>
      <c r="M10" s="14"/>
      <c r="N10" s="14"/>
      <c r="O10" s="15"/>
      <c r="P10" s="14"/>
      <c r="Q10" s="14"/>
      <c r="R10" s="10"/>
      <c r="S10" s="10"/>
    </row>
    <row r="11" spans="1:19" x14ac:dyDescent="0.2">
      <c r="A11" s="13"/>
      <c r="B11" s="13"/>
      <c r="C11" s="13"/>
      <c r="D11" s="13"/>
      <c r="E11" s="13"/>
      <c r="F11" s="13"/>
      <c r="G11" s="13"/>
      <c r="H11" s="13"/>
      <c r="I11" s="13"/>
      <c r="J11" s="13"/>
      <c r="K11" s="14"/>
      <c r="L11" s="14"/>
      <c r="M11" s="14"/>
      <c r="N11" s="14"/>
      <c r="O11" s="15"/>
      <c r="P11" s="14"/>
      <c r="Q11" s="14"/>
      <c r="R11" s="10"/>
      <c r="S11" s="10"/>
    </row>
    <row r="12" spans="1:19" x14ac:dyDescent="0.2">
      <c r="A12" s="13"/>
      <c r="B12" s="13"/>
      <c r="C12" s="13"/>
      <c r="D12" s="13"/>
      <c r="E12" s="13"/>
      <c r="F12" s="13"/>
      <c r="G12" s="13"/>
      <c r="H12" s="13"/>
      <c r="I12" s="13"/>
      <c r="J12" s="13"/>
      <c r="K12" s="14"/>
      <c r="L12" s="14"/>
      <c r="M12" s="14"/>
      <c r="N12" s="14"/>
      <c r="O12" s="15"/>
      <c r="P12" s="14"/>
      <c r="Q12" s="14"/>
      <c r="R12" s="10"/>
      <c r="S12" s="10"/>
    </row>
    <row r="13" spans="1:19" x14ac:dyDescent="0.2">
      <c r="A13" s="13"/>
      <c r="B13" s="13"/>
      <c r="C13" s="13"/>
      <c r="D13" s="13"/>
      <c r="E13" s="13"/>
      <c r="F13" s="13"/>
      <c r="G13" s="13"/>
      <c r="H13" s="13"/>
      <c r="I13" s="13"/>
      <c r="J13" s="13"/>
      <c r="K13" s="14"/>
      <c r="L13" s="14"/>
      <c r="M13" s="14"/>
      <c r="N13" s="14"/>
      <c r="O13" s="15"/>
      <c r="P13" s="14"/>
      <c r="Q13" s="14"/>
      <c r="R13" s="10"/>
      <c r="S13" s="10"/>
    </row>
    <row r="14" spans="1:19" x14ac:dyDescent="0.2">
      <c r="A14" s="13"/>
      <c r="B14" s="13"/>
      <c r="C14" s="13"/>
      <c r="D14" s="13"/>
      <c r="E14" s="13"/>
      <c r="F14" s="13"/>
      <c r="G14" s="13"/>
      <c r="H14" s="13"/>
      <c r="I14" s="13"/>
      <c r="J14" s="13"/>
      <c r="K14" s="14"/>
      <c r="L14" s="14"/>
      <c r="M14" s="14"/>
      <c r="N14" s="14"/>
      <c r="O14" s="15"/>
      <c r="P14" s="14"/>
      <c r="Q14" s="14"/>
      <c r="R14" s="10"/>
      <c r="S14" s="10"/>
    </row>
    <row r="15" spans="1:19" x14ac:dyDescent="0.2">
      <c r="A15" s="13"/>
      <c r="B15" s="13"/>
      <c r="C15" s="13"/>
      <c r="D15" s="13"/>
      <c r="E15" s="13"/>
      <c r="F15" s="13"/>
      <c r="G15" s="13"/>
      <c r="H15" s="13"/>
      <c r="I15" s="13"/>
      <c r="J15" s="13"/>
      <c r="K15" s="14"/>
      <c r="L15" s="14"/>
      <c r="M15" s="14"/>
      <c r="N15" s="14"/>
      <c r="O15" s="15"/>
      <c r="P15" s="14"/>
      <c r="Q15" s="14"/>
      <c r="R15" s="10"/>
      <c r="S15" s="10"/>
    </row>
    <row r="16" spans="1:19" x14ac:dyDescent="0.2">
      <c r="A16" s="13"/>
      <c r="B16" s="13"/>
      <c r="C16" s="13"/>
      <c r="D16" s="13"/>
      <c r="E16" s="13"/>
      <c r="F16" s="13"/>
      <c r="G16" s="13"/>
      <c r="H16" s="13"/>
      <c r="I16" s="13"/>
      <c r="J16" s="13"/>
      <c r="K16" s="14"/>
      <c r="L16" s="14"/>
      <c r="M16" s="14"/>
      <c r="N16" s="14"/>
      <c r="O16" s="15"/>
      <c r="P16" s="14"/>
      <c r="Q16" s="14"/>
      <c r="R16" s="10"/>
      <c r="S16" s="10"/>
    </row>
    <row r="17" spans="1:19" x14ac:dyDescent="0.2">
      <c r="A17" s="13"/>
      <c r="B17" s="13"/>
      <c r="C17" s="13"/>
      <c r="D17" s="13"/>
      <c r="E17" s="13"/>
      <c r="F17" s="13"/>
      <c r="G17" s="13"/>
      <c r="H17" s="13"/>
      <c r="I17" s="13"/>
      <c r="J17" s="13"/>
      <c r="K17" s="14"/>
      <c r="L17" s="14"/>
      <c r="M17" s="14"/>
      <c r="N17" s="14"/>
      <c r="O17" s="15"/>
      <c r="P17" s="14"/>
      <c r="Q17" s="14"/>
      <c r="R17" s="10"/>
      <c r="S17" s="10"/>
    </row>
    <row r="18" spans="1:19" x14ac:dyDescent="0.2">
      <c r="A18" s="13"/>
      <c r="B18" s="13"/>
      <c r="C18" s="13"/>
      <c r="D18" s="13"/>
      <c r="E18" s="13"/>
      <c r="F18" s="13"/>
      <c r="G18" s="13"/>
      <c r="H18" s="13"/>
      <c r="I18" s="13"/>
      <c r="J18" s="13"/>
      <c r="K18" s="14"/>
      <c r="L18" s="14"/>
      <c r="M18" s="14"/>
      <c r="N18" s="14"/>
      <c r="O18" s="15"/>
      <c r="P18" s="14"/>
      <c r="Q18" s="14"/>
      <c r="R18" s="10"/>
      <c r="S18" s="10"/>
    </row>
    <row r="19" spans="1:19" x14ac:dyDescent="0.2">
      <c r="A19" s="13"/>
      <c r="B19" s="13"/>
      <c r="C19" s="13"/>
      <c r="D19" s="13"/>
      <c r="E19" s="13"/>
      <c r="F19" s="13"/>
      <c r="G19" s="13"/>
      <c r="H19" s="13"/>
      <c r="I19" s="13"/>
      <c r="J19" s="13"/>
      <c r="K19" s="14"/>
      <c r="L19" s="14"/>
      <c r="M19" s="14"/>
      <c r="N19" s="14"/>
      <c r="O19" s="15"/>
      <c r="P19" s="14"/>
      <c r="Q19" s="14"/>
      <c r="R19" s="10"/>
      <c r="S19" s="10"/>
    </row>
    <row r="20" spans="1:19" x14ac:dyDescent="0.2">
      <c r="A20" s="13"/>
      <c r="B20" s="13"/>
      <c r="C20" s="13"/>
      <c r="D20" s="13"/>
      <c r="E20" s="13"/>
      <c r="F20" s="13"/>
      <c r="G20" s="13"/>
      <c r="H20" s="13"/>
      <c r="I20" s="13"/>
      <c r="J20" s="13"/>
      <c r="K20" s="14"/>
      <c r="L20" s="14"/>
      <c r="M20" s="14"/>
      <c r="N20" s="14"/>
      <c r="O20" s="15"/>
      <c r="P20" s="14"/>
      <c r="Q20" s="14"/>
      <c r="R20" s="10"/>
      <c r="S20" s="10"/>
    </row>
    <row r="21" spans="1:19" x14ac:dyDescent="0.2">
      <c r="A21" s="13"/>
      <c r="B21" s="13"/>
      <c r="C21" s="13"/>
      <c r="D21" s="13"/>
      <c r="E21" s="13"/>
      <c r="F21" s="13"/>
      <c r="G21" s="13"/>
      <c r="H21" s="13"/>
      <c r="I21" s="13"/>
      <c r="J21" s="13"/>
      <c r="K21" s="14"/>
      <c r="L21" s="14"/>
      <c r="M21" s="14"/>
      <c r="N21" s="14"/>
      <c r="O21" s="15"/>
      <c r="P21" s="14"/>
      <c r="Q21" s="14"/>
      <c r="R21" s="10"/>
      <c r="S21" s="10"/>
    </row>
    <row r="22" spans="1:19" x14ac:dyDescent="0.2">
      <c r="A22" s="13"/>
      <c r="B22" s="13"/>
      <c r="C22" s="13"/>
      <c r="D22" s="13"/>
      <c r="E22" s="13"/>
      <c r="F22" s="13"/>
      <c r="G22" s="13"/>
      <c r="H22" s="13"/>
      <c r="I22" s="13"/>
      <c r="J22" s="13"/>
      <c r="K22" s="14"/>
      <c r="L22" s="14"/>
      <c r="M22" s="14"/>
      <c r="N22" s="14"/>
      <c r="O22" s="15"/>
      <c r="P22" s="14"/>
      <c r="Q22" s="14"/>
      <c r="R22" s="10"/>
      <c r="S22" s="10"/>
    </row>
    <row r="23" spans="1:19" x14ac:dyDescent="0.2">
      <c r="A23" s="13"/>
      <c r="B23" s="13"/>
      <c r="C23" s="13"/>
      <c r="D23" s="13"/>
      <c r="E23" s="13"/>
      <c r="F23" s="13"/>
      <c r="G23" s="13"/>
      <c r="H23" s="13"/>
      <c r="I23" s="13"/>
      <c r="J23" s="13"/>
      <c r="K23" s="14"/>
      <c r="L23" s="14"/>
      <c r="M23" s="14"/>
      <c r="N23" s="14"/>
      <c r="O23" s="15"/>
      <c r="P23" s="14"/>
      <c r="Q23" s="14"/>
      <c r="R23" s="10"/>
      <c r="S23" s="10"/>
    </row>
    <row r="24" spans="1:19" x14ac:dyDescent="0.2">
      <c r="A24" s="13"/>
      <c r="B24" s="13"/>
      <c r="C24" s="13"/>
      <c r="D24" s="13"/>
      <c r="E24" s="13"/>
      <c r="F24" s="13"/>
      <c r="G24" s="13"/>
      <c r="H24" s="13"/>
      <c r="I24" s="13"/>
      <c r="J24" s="13"/>
      <c r="K24" s="14"/>
      <c r="L24" s="14"/>
      <c r="M24" s="14"/>
      <c r="N24" s="14"/>
      <c r="O24" s="15"/>
      <c r="P24" s="14"/>
      <c r="Q24" s="14"/>
      <c r="R24" s="10"/>
      <c r="S24" s="10"/>
    </row>
    <row r="25" spans="1:19" x14ac:dyDescent="0.2">
      <c r="A25" s="13"/>
      <c r="B25" s="13"/>
      <c r="C25" s="13"/>
      <c r="D25" s="13"/>
      <c r="E25" s="13"/>
      <c r="F25" s="13"/>
      <c r="G25" s="13"/>
      <c r="H25" s="13"/>
      <c r="I25" s="13"/>
      <c r="J25" s="13"/>
      <c r="K25" s="14"/>
      <c r="L25" s="14"/>
      <c r="M25" s="14"/>
      <c r="N25" s="14"/>
      <c r="O25" s="15"/>
      <c r="P25" s="14"/>
      <c r="Q25" s="14"/>
      <c r="R25" s="10"/>
      <c r="S25" s="10"/>
    </row>
    <row r="26" spans="1:19" x14ac:dyDescent="0.2">
      <c r="A26" s="13"/>
      <c r="B26" s="13"/>
      <c r="C26" s="13"/>
      <c r="D26" s="13"/>
      <c r="E26" s="13"/>
      <c r="F26" s="13"/>
      <c r="G26" s="13"/>
      <c r="H26" s="13"/>
      <c r="I26" s="13"/>
      <c r="J26" s="13"/>
      <c r="K26" s="14"/>
      <c r="L26" s="14"/>
      <c r="M26" s="14"/>
      <c r="N26" s="14"/>
      <c r="O26" s="15"/>
      <c r="P26" s="14"/>
      <c r="Q26" s="14"/>
      <c r="R26" s="10"/>
      <c r="S26" s="10"/>
    </row>
    <row r="27" spans="1:19" x14ac:dyDescent="0.2">
      <c r="A27" s="13"/>
      <c r="B27" s="13"/>
      <c r="C27" s="13"/>
      <c r="D27" s="13"/>
      <c r="E27" s="13"/>
      <c r="F27" s="13"/>
      <c r="G27" s="13"/>
      <c r="H27" s="13"/>
      <c r="I27" s="13"/>
      <c r="J27" s="13"/>
      <c r="K27" s="14"/>
      <c r="L27" s="14"/>
      <c r="M27" s="14"/>
      <c r="N27" s="14"/>
      <c r="O27" s="15"/>
      <c r="P27" s="14"/>
      <c r="Q27" s="14"/>
      <c r="R27" s="10"/>
      <c r="S27" s="10"/>
    </row>
    <row r="28" spans="1:19" x14ac:dyDescent="0.2">
      <c r="A28" s="13"/>
      <c r="B28" s="13"/>
      <c r="C28" s="13"/>
      <c r="D28" s="13"/>
      <c r="E28" s="13"/>
      <c r="F28" s="13"/>
      <c r="G28" s="13"/>
      <c r="H28" s="13"/>
      <c r="I28" s="13"/>
      <c r="J28" s="13"/>
      <c r="K28" s="14"/>
      <c r="L28" s="14"/>
      <c r="M28" s="14"/>
      <c r="N28" s="14"/>
      <c r="O28" s="15"/>
      <c r="P28" s="14"/>
      <c r="Q28" s="14"/>
      <c r="R28" s="10"/>
      <c r="S28" s="10"/>
    </row>
    <row r="29" spans="1:19" x14ac:dyDescent="0.2">
      <c r="A29" s="13"/>
      <c r="B29" s="13"/>
      <c r="C29" s="13"/>
      <c r="D29" s="13"/>
      <c r="E29" s="13"/>
      <c r="F29" s="13"/>
      <c r="G29" s="13"/>
      <c r="H29" s="13"/>
      <c r="I29" s="13"/>
      <c r="J29" s="13"/>
      <c r="K29" s="14"/>
      <c r="L29" s="14"/>
      <c r="M29" s="14"/>
      <c r="N29" s="14"/>
      <c r="O29" s="15"/>
      <c r="P29" s="14"/>
      <c r="Q29" s="14"/>
      <c r="R29" s="10"/>
      <c r="S29" s="10"/>
    </row>
    <row r="30" spans="1:19" x14ac:dyDescent="0.2">
      <c r="A30" s="13"/>
      <c r="B30" s="13"/>
      <c r="C30" s="13"/>
      <c r="D30" s="13"/>
      <c r="E30" s="13"/>
      <c r="F30" s="13"/>
      <c r="G30" s="13"/>
      <c r="H30" s="13"/>
      <c r="I30" s="13"/>
      <c r="J30" s="13"/>
      <c r="K30" s="14"/>
      <c r="L30" s="14"/>
      <c r="M30" s="14"/>
      <c r="N30" s="14"/>
      <c r="O30" s="15"/>
      <c r="P30" s="14"/>
      <c r="Q30" s="14"/>
      <c r="R30" s="10"/>
      <c r="S30" s="10"/>
    </row>
    <row r="31" spans="1:19" x14ac:dyDescent="0.2">
      <c r="A31" s="13"/>
      <c r="B31" s="13"/>
      <c r="C31" s="13"/>
      <c r="D31" s="13"/>
      <c r="E31" s="13"/>
      <c r="F31" s="13"/>
      <c r="G31" s="13"/>
      <c r="H31" s="13"/>
      <c r="I31" s="13"/>
      <c r="J31" s="13"/>
      <c r="K31" s="14"/>
      <c r="L31" s="14"/>
      <c r="M31" s="14"/>
      <c r="N31" s="14"/>
      <c r="O31" s="15"/>
      <c r="P31" s="14"/>
      <c r="Q31" s="14"/>
      <c r="R31" s="10"/>
      <c r="S31" s="10"/>
    </row>
    <row r="32" spans="1:19" x14ac:dyDescent="0.2">
      <c r="A32" s="13"/>
      <c r="B32" s="13"/>
      <c r="C32" s="13"/>
      <c r="D32" s="13"/>
      <c r="E32" s="13"/>
      <c r="F32" s="13"/>
      <c r="G32" s="13"/>
      <c r="H32" s="13"/>
      <c r="I32" s="13"/>
      <c r="J32" s="13"/>
      <c r="K32" s="14"/>
      <c r="L32" s="14"/>
      <c r="M32" s="14"/>
      <c r="N32" s="14"/>
      <c r="O32" s="15"/>
      <c r="P32" s="14"/>
      <c r="Q32" s="14"/>
      <c r="R32" s="10"/>
      <c r="S32" s="10"/>
    </row>
    <row r="33" spans="1:19" x14ac:dyDescent="0.2">
      <c r="A33" s="13"/>
      <c r="B33" s="13"/>
      <c r="C33" s="13"/>
      <c r="D33" s="13"/>
      <c r="E33" s="13"/>
      <c r="F33" s="13"/>
      <c r="G33" s="13"/>
      <c r="H33" s="13"/>
      <c r="I33" s="13"/>
      <c r="J33" s="13"/>
      <c r="K33" s="14"/>
      <c r="L33" s="14"/>
      <c r="M33" s="14"/>
      <c r="N33" s="14"/>
      <c r="O33" s="15"/>
      <c r="P33" s="14"/>
      <c r="Q33" s="14"/>
      <c r="R33" s="10"/>
      <c r="S33" s="10"/>
    </row>
    <row r="34" spans="1:19" x14ac:dyDescent="0.2">
      <c r="A34" s="13"/>
      <c r="B34" s="13"/>
      <c r="C34" s="13"/>
      <c r="D34" s="13"/>
      <c r="E34" s="13"/>
      <c r="F34" s="13"/>
      <c r="G34" s="13"/>
      <c r="H34" s="13"/>
      <c r="I34" s="13"/>
      <c r="J34" s="13"/>
      <c r="K34" s="14"/>
      <c r="L34" s="14"/>
      <c r="M34" s="14"/>
      <c r="N34" s="14"/>
      <c r="O34" s="15"/>
      <c r="P34" s="14"/>
      <c r="Q34" s="14"/>
      <c r="R34" s="10"/>
      <c r="S34" s="10"/>
    </row>
    <row r="35" spans="1:19" x14ac:dyDescent="0.2">
      <c r="A35" s="13"/>
      <c r="B35" s="13"/>
      <c r="C35" s="13"/>
      <c r="D35" s="13"/>
      <c r="E35" s="13"/>
      <c r="F35" s="13"/>
      <c r="G35" s="13"/>
      <c r="H35" s="13"/>
      <c r="I35" s="13"/>
      <c r="J35" s="13"/>
      <c r="K35" s="14"/>
      <c r="L35" s="14"/>
      <c r="M35" s="14"/>
      <c r="N35" s="14"/>
      <c r="O35" s="15"/>
      <c r="P35" s="14"/>
      <c r="Q35" s="14"/>
      <c r="R35" s="10"/>
      <c r="S35" s="10"/>
    </row>
    <row r="36" spans="1:19" x14ac:dyDescent="0.2">
      <c r="A36" s="13"/>
      <c r="B36" s="13"/>
      <c r="C36" s="13"/>
      <c r="D36" s="13"/>
      <c r="E36" s="13"/>
      <c r="F36" s="13"/>
      <c r="G36" s="13"/>
      <c r="H36" s="13"/>
      <c r="I36" s="13"/>
      <c r="J36" s="13"/>
      <c r="K36" s="14"/>
      <c r="L36" s="14"/>
      <c r="M36" s="14"/>
      <c r="N36" s="14"/>
      <c r="O36" s="15"/>
      <c r="P36" s="14"/>
      <c r="Q36" s="14"/>
      <c r="R36" s="10"/>
      <c r="S36" s="10"/>
    </row>
    <row r="37" spans="1:19" x14ac:dyDescent="0.2">
      <c r="A37" s="13"/>
      <c r="B37" s="13"/>
      <c r="C37" s="13"/>
      <c r="D37" s="13"/>
      <c r="E37" s="13"/>
      <c r="F37" s="13"/>
      <c r="G37" s="13"/>
      <c r="H37" s="13"/>
      <c r="I37" s="13"/>
      <c r="J37" s="13"/>
      <c r="K37" s="14"/>
      <c r="L37" s="14"/>
      <c r="M37" s="14"/>
      <c r="N37" s="14"/>
      <c r="O37" s="15"/>
      <c r="P37" s="14"/>
      <c r="Q37" s="14"/>
      <c r="R37" s="10"/>
      <c r="S37" s="10"/>
    </row>
    <row r="38" spans="1:19" x14ac:dyDescent="0.2">
      <c r="A38" s="13"/>
      <c r="B38" s="13"/>
      <c r="C38" s="13"/>
      <c r="D38" s="13"/>
      <c r="E38" s="13"/>
      <c r="F38" s="13"/>
      <c r="G38" s="13"/>
      <c r="H38" s="13"/>
      <c r="I38" s="13"/>
      <c r="J38" s="13"/>
      <c r="K38" s="14"/>
      <c r="L38" s="14"/>
      <c r="M38" s="14"/>
      <c r="N38" s="14"/>
      <c r="O38" s="15"/>
      <c r="P38" s="14"/>
      <c r="Q38" s="14"/>
      <c r="R38" s="10"/>
      <c r="S38" s="10"/>
    </row>
    <row r="39" spans="1:19" x14ac:dyDescent="0.2">
      <c r="A39" s="13"/>
      <c r="B39" s="13"/>
      <c r="C39" s="13"/>
      <c r="D39" s="13"/>
      <c r="E39" s="13"/>
      <c r="F39" s="13"/>
      <c r="G39" s="13"/>
      <c r="H39" s="13"/>
      <c r="I39" s="13"/>
      <c r="J39" s="13"/>
      <c r="K39" s="14"/>
      <c r="L39" s="14"/>
      <c r="M39" s="14"/>
      <c r="N39" s="14"/>
      <c r="O39" s="15"/>
      <c r="P39" s="14"/>
      <c r="Q39" s="14"/>
      <c r="R39" s="10"/>
      <c r="S39" s="10"/>
    </row>
    <row r="40" spans="1:19" x14ac:dyDescent="0.2">
      <c r="A40" s="13"/>
      <c r="B40" s="13"/>
      <c r="C40" s="13"/>
      <c r="D40" s="13"/>
      <c r="E40" s="13"/>
      <c r="F40" s="13"/>
      <c r="G40" s="13"/>
      <c r="H40" s="13"/>
      <c r="I40" s="13"/>
      <c r="J40" s="13"/>
      <c r="K40" s="14"/>
      <c r="L40" s="14"/>
      <c r="M40" s="14"/>
      <c r="N40" s="14"/>
      <c r="O40" s="15"/>
      <c r="P40" s="14"/>
      <c r="Q40" s="14"/>
      <c r="R40" s="10"/>
      <c r="S40" s="10"/>
    </row>
    <row r="41" spans="1:19" x14ac:dyDescent="0.2">
      <c r="A41" s="13"/>
      <c r="B41" s="13"/>
      <c r="C41" s="13"/>
      <c r="D41" s="13"/>
      <c r="E41" s="13"/>
      <c r="F41" s="13"/>
      <c r="G41" s="13"/>
      <c r="H41" s="13"/>
      <c r="I41" s="13"/>
      <c r="J41" s="13"/>
      <c r="K41" s="14"/>
      <c r="L41" s="14"/>
      <c r="M41" s="14"/>
      <c r="N41" s="14"/>
      <c r="O41" s="15"/>
      <c r="P41" s="14"/>
      <c r="Q41" s="14"/>
      <c r="R41" s="10"/>
      <c r="S41" s="10"/>
    </row>
    <row r="42" spans="1:19" x14ac:dyDescent="0.2">
      <c r="A42" s="13"/>
      <c r="B42" s="13"/>
      <c r="C42" s="13"/>
      <c r="D42" s="13"/>
      <c r="E42" s="13"/>
      <c r="F42" s="13"/>
      <c r="G42" s="13"/>
      <c r="H42" s="13"/>
      <c r="I42" s="13"/>
      <c r="J42" s="13"/>
      <c r="K42" s="14"/>
      <c r="L42" s="14"/>
      <c r="M42" s="14"/>
      <c r="N42" s="14"/>
      <c r="O42" s="15"/>
      <c r="P42" s="14"/>
      <c r="Q42" s="14"/>
      <c r="R42" s="10"/>
      <c r="S42" s="10"/>
    </row>
    <row r="43" spans="1:19" x14ac:dyDescent="0.2">
      <c r="A43" s="13"/>
      <c r="B43" s="13"/>
      <c r="C43" s="13"/>
      <c r="D43" s="13"/>
      <c r="E43" s="13"/>
      <c r="F43" s="13"/>
      <c r="G43" s="13"/>
      <c r="H43" s="13"/>
      <c r="I43" s="13"/>
      <c r="J43" s="13"/>
      <c r="K43" s="14"/>
      <c r="L43" s="14"/>
      <c r="M43" s="14"/>
      <c r="N43" s="14"/>
      <c r="O43" s="15"/>
      <c r="P43" s="14"/>
      <c r="Q43" s="14"/>
      <c r="R43" s="10"/>
      <c r="S43" s="10"/>
    </row>
    <row r="44" spans="1:19" x14ac:dyDescent="0.2">
      <c r="A44" s="13"/>
      <c r="B44" s="13"/>
      <c r="C44" s="13"/>
      <c r="D44" s="13"/>
      <c r="E44" s="13"/>
      <c r="F44" s="13"/>
      <c r="G44" s="13"/>
      <c r="H44" s="13"/>
      <c r="I44" s="13"/>
      <c r="J44" s="13"/>
      <c r="K44" s="14"/>
      <c r="L44" s="14"/>
      <c r="M44" s="14"/>
      <c r="N44" s="14"/>
      <c r="O44" s="15"/>
      <c r="P44" s="14"/>
      <c r="Q44" s="14"/>
      <c r="R44" s="10"/>
      <c r="S44" s="10"/>
    </row>
    <row r="45" spans="1:19" x14ac:dyDescent="0.2">
      <c r="A45" s="13"/>
      <c r="B45" s="13"/>
      <c r="C45" s="13"/>
      <c r="D45" s="13"/>
      <c r="E45" s="13"/>
      <c r="F45" s="13"/>
      <c r="G45" s="13"/>
      <c r="H45" s="13"/>
      <c r="I45" s="13"/>
      <c r="J45" s="13"/>
      <c r="K45" s="14"/>
      <c r="L45" s="14"/>
      <c r="M45" s="14"/>
      <c r="N45" s="14"/>
      <c r="O45" s="15"/>
      <c r="P45" s="14"/>
      <c r="Q45" s="14"/>
      <c r="R45" s="10"/>
      <c r="S45" s="10"/>
    </row>
    <row r="46" spans="1:19" x14ac:dyDescent="0.2">
      <c r="A46" s="13"/>
      <c r="B46" s="13"/>
      <c r="C46" s="13"/>
      <c r="D46" s="13"/>
      <c r="E46" s="13"/>
      <c r="F46" s="13"/>
      <c r="G46" s="13"/>
      <c r="H46" s="13"/>
      <c r="I46" s="13"/>
      <c r="J46" s="13"/>
      <c r="K46" s="14"/>
      <c r="L46" s="14"/>
      <c r="M46" s="14"/>
      <c r="N46" s="14"/>
      <c r="O46" s="15"/>
      <c r="P46" s="14"/>
      <c r="Q46" s="14"/>
      <c r="R46" s="10"/>
      <c r="S46" s="10"/>
    </row>
    <row r="47" spans="1:19" x14ac:dyDescent="0.2">
      <c r="A47" s="13"/>
      <c r="B47" s="13"/>
      <c r="C47" s="13"/>
      <c r="D47" s="13"/>
      <c r="E47" s="13"/>
      <c r="F47" s="13"/>
      <c r="G47" s="13"/>
      <c r="H47" s="13"/>
      <c r="I47" s="13"/>
      <c r="J47" s="13"/>
      <c r="K47" s="14"/>
      <c r="L47" s="14"/>
      <c r="M47" s="14"/>
      <c r="N47" s="14"/>
      <c r="O47" s="15"/>
      <c r="P47" s="14"/>
      <c r="Q47" s="14"/>
      <c r="R47" s="10"/>
      <c r="S47" s="10"/>
    </row>
    <row r="48" spans="1:19" x14ac:dyDescent="0.2">
      <c r="A48" s="13"/>
      <c r="B48" s="13"/>
      <c r="C48" s="13"/>
      <c r="D48" s="13"/>
      <c r="E48" s="13"/>
      <c r="F48" s="13"/>
      <c r="G48" s="13"/>
      <c r="H48" s="13"/>
      <c r="I48" s="13"/>
      <c r="J48" s="13"/>
      <c r="K48" s="14"/>
      <c r="L48" s="14"/>
      <c r="M48" s="14"/>
      <c r="N48" s="14"/>
      <c r="O48" s="15"/>
      <c r="P48" s="14"/>
      <c r="Q48" s="14"/>
      <c r="R48" s="10"/>
      <c r="S48" s="10"/>
    </row>
    <row r="49" spans="1:19" x14ac:dyDescent="0.2">
      <c r="A49" s="13"/>
      <c r="B49" s="13"/>
      <c r="C49" s="13"/>
      <c r="D49" s="13"/>
      <c r="E49" s="13"/>
      <c r="F49" s="13"/>
      <c r="G49" s="13"/>
      <c r="H49" s="13"/>
      <c r="I49" s="13"/>
      <c r="J49" s="13"/>
      <c r="K49" s="14"/>
      <c r="L49" s="14"/>
      <c r="M49" s="14"/>
      <c r="N49" s="14"/>
      <c r="O49" s="15"/>
      <c r="P49" s="14"/>
      <c r="Q49" s="14"/>
      <c r="R49" s="10"/>
      <c r="S49" s="10"/>
    </row>
    <row r="50" spans="1:19" x14ac:dyDescent="0.2">
      <c r="A50" s="13"/>
      <c r="B50" s="13"/>
      <c r="C50" s="13"/>
      <c r="D50" s="13"/>
      <c r="E50" s="13"/>
      <c r="F50" s="13"/>
      <c r="G50" s="13"/>
      <c r="H50" s="13"/>
      <c r="I50" s="13"/>
      <c r="J50" s="13"/>
      <c r="K50" s="14"/>
      <c r="L50" s="14"/>
      <c r="M50" s="14"/>
      <c r="N50" s="14"/>
      <c r="O50" s="15"/>
      <c r="P50" s="14"/>
      <c r="Q50" s="14"/>
      <c r="R50" s="10"/>
      <c r="S50" s="10"/>
    </row>
    <row r="51" spans="1:19" x14ac:dyDescent="0.2">
      <c r="A51" s="13"/>
      <c r="B51" s="13"/>
      <c r="C51" s="13"/>
      <c r="D51" s="13"/>
      <c r="E51" s="13"/>
      <c r="F51" s="13"/>
      <c r="G51" s="13"/>
      <c r="H51" s="13"/>
      <c r="I51" s="13"/>
      <c r="J51" s="13"/>
      <c r="K51" s="14"/>
      <c r="L51" s="14"/>
      <c r="M51" s="14"/>
      <c r="N51" s="14"/>
      <c r="O51" s="15"/>
      <c r="P51" s="14"/>
      <c r="Q51" s="14"/>
      <c r="R51" s="10"/>
      <c r="S51" s="10"/>
    </row>
    <row r="52" spans="1:19" x14ac:dyDescent="0.2">
      <c r="A52" s="13"/>
      <c r="B52" s="13"/>
      <c r="C52" s="13"/>
      <c r="D52" s="13"/>
      <c r="E52" s="13"/>
      <c r="F52" s="13"/>
      <c r="G52" s="13"/>
      <c r="H52" s="13"/>
      <c r="I52" s="13"/>
      <c r="J52" s="13"/>
      <c r="K52" s="14"/>
      <c r="L52" s="14"/>
      <c r="M52" s="14"/>
      <c r="N52" s="14"/>
      <c r="O52" s="15"/>
      <c r="P52" s="14"/>
      <c r="Q52" s="14"/>
      <c r="R52" s="10"/>
      <c r="S52" s="10"/>
    </row>
    <row r="53" spans="1:19" x14ac:dyDescent="0.2">
      <c r="A53" s="13"/>
      <c r="B53" s="13"/>
      <c r="C53" s="13"/>
      <c r="D53" s="13"/>
      <c r="E53" s="13"/>
      <c r="F53" s="13"/>
      <c r="G53" s="13"/>
      <c r="H53" s="13"/>
      <c r="I53" s="13"/>
      <c r="J53" s="13"/>
      <c r="K53" s="14"/>
      <c r="L53" s="14"/>
      <c r="M53" s="14"/>
      <c r="N53" s="14"/>
      <c r="O53" s="15"/>
      <c r="P53" s="14"/>
      <c r="Q53" s="14"/>
      <c r="R53" s="10"/>
      <c r="S53" s="10"/>
    </row>
    <row r="54" spans="1:19" x14ac:dyDescent="0.2">
      <c r="A54" s="13"/>
      <c r="B54" s="13"/>
      <c r="C54" s="13"/>
      <c r="D54" s="13"/>
      <c r="E54" s="13"/>
      <c r="F54" s="13"/>
      <c r="G54" s="13"/>
      <c r="H54" s="13"/>
      <c r="I54" s="13"/>
      <c r="J54" s="13"/>
      <c r="K54" s="14"/>
      <c r="L54" s="14"/>
      <c r="M54" s="14"/>
      <c r="N54" s="14"/>
      <c r="O54" s="15"/>
      <c r="P54" s="14"/>
      <c r="Q54" s="14"/>
      <c r="R54" s="10"/>
      <c r="S54" s="10"/>
    </row>
    <row r="55" spans="1:19" x14ac:dyDescent="0.2">
      <c r="A55" s="13"/>
      <c r="B55" s="13"/>
      <c r="C55" s="13"/>
      <c r="D55" s="13"/>
      <c r="E55" s="13"/>
      <c r="F55" s="13"/>
      <c r="G55" s="13"/>
      <c r="H55" s="13"/>
      <c r="I55" s="13"/>
      <c r="J55" s="13"/>
      <c r="K55" s="14"/>
      <c r="L55" s="14"/>
      <c r="M55" s="14"/>
      <c r="N55" s="14"/>
      <c r="O55" s="15"/>
      <c r="P55" s="14"/>
      <c r="Q55" s="14"/>
      <c r="R55" s="10"/>
      <c r="S55" s="10"/>
    </row>
    <row r="56" spans="1:19" x14ac:dyDescent="0.2">
      <c r="A56" s="13"/>
      <c r="B56" s="13"/>
      <c r="C56" s="13"/>
      <c r="D56" s="13"/>
      <c r="E56" s="13"/>
      <c r="F56" s="13"/>
      <c r="G56" s="13"/>
      <c r="H56" s="13"/>
      <c r="I56" s="13"/>
      <c r="J56" s="13"/>
      <c r="K56" s="14"/>
      <c r="L56" s="14"/>
      <c r="M56" s="14"/>
      <c r="N56" s="14"/>
      <c r="O56" s="15"/>
      <c r="P56" s="14"/>
      <c r="Q56" s="14"/>
      <c r="R56" s="10"/>
      <c r="S56" s="10"/>
    </row>
    <row r="57" spans="1:19" x14ac:dyDescent="0.2">
      <c r="A57" s="13"/>
      <c r="B57" s="13"/>
      <c r="C57" s="13"/>
      <c r="D57" s="13"/>
      <c r="E57" s="13"/>
      <c r="F57" s="13"/>
      <c r="G57" s="13"/>
      <c r="H57" s="13"/>
      <c r="I57" s="13"/>
      <c r="J57" s="13"/>
      <c r="K57" s="14"/>
      <c r="L57" s="14"/>
      <c r="M57" s="14"/>
      <c r="N57" s="14"/>
      <c r="O57" s="15"/>
      <c r="P57" s="14"/>
      <c r="Q57" s="14"/>
      <c r="R57" s="10"/>
      <c r="S57" s="10"/>
    </row>
    <row r="58" spans="1:19" x14ac:dyDescent="0.2">
      <c r="A58" s="13"/>
      <c r="B58" s="13"/>
      <c r="C58" s="13"/>
      <c r="D58" s="13"/>
      <c r="E58" s="13"/>
      <c r="F58" s="13"/>
      <c r="G58" s="13"/>
      <c r="H58" s="13"/>
      <c r="I58" s="13"/>
      <c r="J58" s="13"/>
      <c r="K58" s="14"/>
      <c r="L58" s="14"/>
      <c r="M58" s="14"/>
      <c r="N58" s="14"/>
      <c r="O58" s="15"/>
      <c r="P58" s="14"/>
      <c r="Q58" s="14"/>
      <c r="R58" s="10"/>
      <c r="S58" s="10"/>
    </row>
    <row r="59" spans="1:19" x14ac:dyDescent="0.2">
      <c r="A59" s="13"/>
      <c r="B59" s="13"/>
      <c r="C59" s="13"/>
      <c r="D59" s="13"/>
      <c r="E59" s="13"/>
      <c r="F59" s="13"/>
      <c r="G59" s="13"/>
      <c r="H59" s="13"/>
      <c r="I59" s="13"/>
      <c r="J59" s="13"/>
      <c r="K59" s="14"/>
      <c r="L59" s="14"/>
      <c r="M59" s="14"/>
      <c r="N59" s="14"/>
      <c r="O59" s="15"/>
      <c r="P59" s="14"/>
      <c r="Q59" s="14"/>
      <c r="R59" s="10"/>
      <c r="S59" s="10"/>
    </row>
    <row r="60" spans="1:19" x14ac:dyDescent="0.2">
      <c r="A60" s="13"/>
      <c r="B60" s="13"/>
      <c r="C60" s="13"/>
      <c r="D60" s="13"/>
      <c r="E60" s="13"/>
      <c r="F60" s="13"/>
      <c r="G60" s="13"/>
      <c r="H60" s="13"/>
      <c r="I60" s="13"/>
      <c r="J60" s="13"/>
      <c r="K60" s="14"/>
      <c r="L60" s="14"/>
      <c r="M60" s="14"/>
      <c r="N60" s="14"/>
      <c r="O60" s="15"/>
      <c r="P60" s="14"/>
      <c r="Q60" s="14"/>
      <c r="R60" s="10"/>
      <c r="S60" s="10"/>
    </row>
    <row r="61" spans="1:19" x14ac:dyDescent="0.2">
      <c r="A61" s="13"/>
      <c r="B61" s="13"/>
      <c r="C61" s="13"/>
      <c r="D61" s="13"/>
      <c r="E61" s="13"/>
      <c r="F61" s="13"/>
      <c r="G61" s="13"/>
      <c r="H61" s="13"/>
      <c r="I61" s="13"/>
      <c r="J61" s="13"/>
      <c r="K61" s="14"/>
      <c r="L61" s="14"/>
      <c r="M61" s="14"/>
      <c r="N61" s="14"/>
      <c r="O61" s="15"/>
      <c r="P61" s="14"/>
      <c r="Q61" s="14"/>
      <c r="R61" s="10"/>
      <c r="S61" s="10"/>
    </row>
    <row r="62" spans="1:19" x14ac:dyDescent="0.2">
      <c r="A62" s="13"/>
      <c r="B62" s="13"/>
      <c r="C62" s="13"/>
      <c r="D62" s="13"/>
      <c r="E62" s="13"/>
      <c r="F62" s="13"/>
      <c r="G62" s="13"/>
      <c r="H62" s="13"/>
      <c r="I62" s="13"/>
      <c r="J62" s="13"/>
      <c r="K62" s="14"/>
      <c r="L62" s="14"/>
      <c r="M62" s="14"/>
      <c r="N62" s="14"/>
      <c r="O62" s="15"/>
      <c r="P62" s="14"/>
      <c r="Q62" s="14"/>
      <c r="R62" s="10"/>
      <c r="S62" s="10"/>
    </row>
    <row r="63" spans="1:19" x14ac:dyDescent="0.2">
      <c r="A63" s="13"/>
      <c r="B63" s="13"/>
      <c r="C63" s="13"/>
      <c r="D63" s="13"/>
      <c r="E63" s="13"/>
      <c r="F63" s="13"/>
      <c r="G63" s="13"/>
      <c r="H63" s="13"/>
      <c r="I63" s="13"/>
      <c r="J63" s="13"/>
      <c r="K63" s="14"/>
      <c r="L63" s="14"/>
      <c r="M63" s="14"/>
      <c r="N63" s="14"/>
      <c r="O63" s="15"/>
      <c r="P63" s="14"/>
      <c r="Q63" s="14"/>
      <c r="R63" s="10"/>
      <c r="S63" s="10"/>
    </row>
    <row r="64" spans="1:19" x14ac:dyDescent="0.2">
      <c r="A64" s="13"/>
      <c r="B64" s="13"/>
      <c r="C64" s="13"/>
      <c r="D64" s="13"/>
      <c r="E64" s="13"/>
      <c r="F64" s="13"/>
      <c r="G64" s="13"/>
      <c r="H64" s="13"/>
      <c r="I64" s="13"/>
      <c r="J64" s="13"/>
      <c r="K64" s="14"/>
      <c r="L64" s="14"/>
      <c r="M64" s="14"/>
      <c r="N64" s="14"/>
      <c r="O64" s="15"/>
      <c r="P64" s="14"/>
      <c r="Q64" s="14"/>
      <c r="R64" s="10"/>
      <c r="S64" s="10"/>
    </row>
    <row r="65" spans="1:19" x14ac:dyDescent="0.2">
      <c r="A65" s="13"/>
      <c r="B65" s="13"/>
      <c r="C65" s="13"/>
      <c r="D65" s="13"/>
      <c r="E65" s="13"/>
      <c r="F65" s="13"/>
      <c r="G65" s="13"/>
      <c r="H65" s="13"/>
      <c r="I65" s="13"/>
      <c r="J65" s="13"/>
      <c r="K65" s="14"/>
      <c r="L65" s="14"/>
      <c r="M65" s="14"/>
      <c r="N65" s="14"/>
      <c r="O65" s="15"/>
      <c r="P65" s="14"/>
      <c r="Q65" s="14"/>
      <c r="R65" s="10"/>
      <c r="S65" s="10"/>
    </row>
    <row r="66" spans="1:19" x14ac:dyDescent="0.2">
      <c r="A66" s="13"/>
      <c r="B66" s="13"/>
      <c r="C66" s="13"/>
      <c r="D66" s="13"/>
      <c r="E66" s="13"/>
      <c r="F66" s="13"/>
      <c r="G66" s="13"/>
      <c r="H66" s="13"/>
      <c r="I66" s="13"/>
      <c r="J66" s="13"/>
      <c r="K66" s="14"/>
      <c r="L66" s="14"/>
      <c r="M66" s="14"/>
      <c r="N66" s="14"/>
      <c r="O66" s="15"/>
      <c r="P66" s="14"/>
      <c r="Q66" s="14"/>
      <c r="R66" s="10"/>
      <c r="S66" s="10"/>
    </row>
    <row r="67" spans="1:19" x14ac:dyDescent="0.2">
      <c r="A67" s="13"/>
      <c r="B67" s="13"/>
      <c r="C67" s="13"/>
      <c r="D67" s="13"/>
      <c r="E67" s="13"/>
      <c r="F67" s="13"/>
      <c r="G67" s="13"/>
      <c r="H67" s="13"/>
      <c r="I67" s="13"/>
      <c r="J67" s="13"/>
      <c r="K67" s="14"/>
      <c r="L67" s="14"/>
      <c r="M67" s="14"/>
      <c r="N67" s="14"/>
      <c r="O67" s="15"/>
      <c r="P67" s="14"/>
      <c r="Q67" s="14"/>
      <c r="R67" s="10"/>
      <c r="S67" s="10"/>
    </row>
    <row r="68" spans="1:19" x14ac:dyDescent="0.2">
      <c r="A68" s="13"/>
      <c r="B68" s="13"/>
      <c r="C68" s="13"/>
      <c r="D68" s="13"/>
      <c r="E68" s="13"/>
      <c r="F68" s="13"/>
      <c r="G68" s="13"/>
      <c r="H68" s="13"/>
      <c r="I68" s="13"/>
      <c r="J68" s="13"/>
      <c r="K68" s="14"/>
      <c r="L68" s="14"/>
      <c r="M68" s="14"/>
      <c r="N68" s="14"/>
      <c r="O68" s="15"/>
      <c r="P68" s="14"/>
      <c r="Q68" s="14"/>
      <c r="R68" s="10"/>
      <c r="S68" s="10"/>
    </row>
    <row r="69" spans="1:19" x14ac:dyDescent="0.2">
      <c r="A69" s="13"/>
      <c r="B69" s="13"/>
      <c r="C69" s="13"/>
      <c r="D69" s="13"/>
      <c r="E69" s="13"/>
      <c r="F69" s="13"/>
      <c r="G69" s="13"/>
      <c r="H69" s="13"/>
      <c r="I69" s="13"/>
      <c r="J69" s="13"/>
      <c r="K69" s="14"/>
      <c r="L69" s="14"/>
      <c r="M69" s="14"/>
      <c r="N69" s="14"/>
      <c r="O69" s="15"/>
      <c r="P69" s="14"/>
      <c r="Q69" s="14"/>
      <c r="R69" s="10"/>
      <c r="S69" s="10"/>
    </row>
    <row r="70" spans="1:19" x14ac:dyDescent="0.2">
      <c r="A70" s="13"/>
      <c r="B70" s="13"/>
      <c r="C70" s="13"/>
      <c r="D70" s="13"/>
      <c r="E70" s="13"/>
      <c r="F70" s="13"/>
      <c r="G70" s="13"/>
      <c r="H70" s="13"/>
      <c r="I70" s="13"/>
      <c r="J70" s="13"/>
      <c r="K70" s="14"/>
      <c r="L70" s="14"/>
      <c r="M70" s="14"/>
      <c r="N70" s="14"/>
      <c r="O70" s="15"/>
      <c r="P70" s="14"/>
      <c r="Q70" s="14"/>
      <c r="R70" s="10"/>
      <c r="S70" s="10"/>
    </row>
    <row r="71" spans="1:19" x14ac:dyDescent="0.2">
      <c r="A71" s="13"/>
      <c r="B71" s="13"/>
      <c r="C71" s="13"/>
      <c r="D71" s="13"/>
      <c r="E71" s="13"/>
      <c r="F71" s="13"/>
      <c r="G71" s="13"/>
      <c r="H71" s="13"/>
      <c r="I71" s="13"/>
      <c r="J71" s="13"/>
      <c r="K71" s="14"/>
      <c r="L71" s="14"/>
      <c r="M71" s="14"/>
      <c r="N71" s="14"/>
      <c r="O71" s="15"/>
      <c r="P71" s="14"/>
      <c r="Q71" s="14"/>
      <c r="R71" s="10"/>
      <c r="S71" s="10"/>
    </row>
    <row r="72" spans="1:19" x14ac:dyDescent="0.2">
      <c r="A72" s="13"/>
      <c r="B72" s="13"/>
      <c r="C72" s="13"/>
      <c r="D72" s="13"/>
      <c r="E72" s="13"/>
      <c r="F72" s="13"/>
      <c r="G72" s="13"/>
      <c r="H72" s="13"/>
      <c r="I72" s="13"/>
      <c r="J72" s="13"/>
      <c r="K72" s="14"/>
      <c r="L72" s="14"/>
      <c r="M72" s="14"/>
      <c r="N72" s="14"/>
      <c r="O72" s="15"/>
      <c r="P72" s="14"/>
      <c r="Q72" s="14"/>
      <c r="R72" s="10"/>
      <c r="S72" s="10"/>
    </row>
    <row r="73" spans="1:19" x14ac:dyDescent="0.2">
      <c r="A73" s="13"/>
      <c r="B73" s="13"/>
      <c r="C73" s="13"/>
      <c r="D73" s="13"/>
      <c r="E73" s="13"/>
      <c r="F73" s="13"/>
      <c r="G73" s="13"/>
      <c r="H73" s="13"/>
      <c r="I73" s="13"/>
      <c r="J73" s="13"/>
      <c r="K73" s="14"/>
      <c r="L73" s="14"/>
      <c r="M73" s="14"/>
      <c r="N73" s="14"/>
      <c r="O73" s="15"/>
      <c r="P73" s="14"/>
      <c r="Q73" s="14"/>
      <c r="R73" s="10"/>
      <c r="S73" s="10"/>
    </row>
    <row r="74" spans="1:19" x14ac:dyDescent="0.2">
      <c r="A74" s="13"/>
      <c r="B74" s="13"/>
      <c r="C74" s="13"/>
      <c r="D74" s="13"/>
      <c r="E74" s="13"/>
      <c r="F74" s="13"/>
      <c r="G74" s="13"/>
      <c r="H74" s="13"/>
      <c r="I74" s="13"/>
      <c r="J74" s="13"/>
      <c r="K74" s="14"/>
      <c r="L74" s="14"/>
      <c r="M74" s="14"/>
      <c r="N74" s="14"/>
      <c r="O74" s="15"/>
      <c r="P74" s="14"/>
      <c r="Q74" s="14"/>
      <c r="R74" s="10"/>
      <c r="S74" s="10"/>
    </row>
    <row r="75" spans="1:19" x14ac:dyDescent="0.2">
      <c r="A75" s="13"/>
      <c r="B75" s="13"/>
      <c r="C75" s="13"/>
      <c r="D75" s="13"/>
      <c r="E75" s="13"/>
      <c r="F75" s="13"/>
      <c r="G75" s="13"/>
      <c r="H75" s="13"/>
      <c r="I75" s="13"/>
      <c r="J75" s="13"/>
      <c r="K75" s="14"/>
      <c r="L75" s="14"/>
      <c r="M75" s="14"/>
      <c r="N75" s="14"/>
      <c r="O75" s="15"/>
      <c r="P75" s="14"/>
      <c r="Q75" s="14"/>
      <c r="R75" s="10"/>
      <c r="S75" s="10"/>
    </row>
    <row r="76" spans="1:19" x14ac:dyDescent="0.2">
      <c r="A76" s="13"/>
      <c r="B76" s="13"/>
      <c r="C76" s="13"/>
      <c r="D76" s="13"/>
      <c r="E76" s="13"/>
      <c r="F76" s="13"/>
      <c r="G76" s="13"/>
      <c r="H76" s="13"/>
      <c r="I76" s="13"/>
      <c r="J76" s="13"/>
      <c r="K76" s="14"/>
      <c r="L76" s="14"/>
      <c r="M76" s="14"/>
      <c r="N76" s="14"/>
      <c r="O76" s="15"/>
      <c r="P76" s="14"/>
      <c r="Q76" s="14"/>
      <c r="R76" s="10"/>
      <c r="S76" s="10"/>
    </row>
    <row r="77" spans="1:19" x14ac:dyDescent="0.2">
      <c r="A77" s="13"/>
      <c r="B77" s="13"/>
      <c r="C77" s="13"/>
      <c r="D77" s="13"/>
      <c r="E77" s="13"/>
      <c r="F77" s="13"/>
      <c r="G77" s="13"/>
      <c r="H77" s="13"/>
      <c r="I77" s="13"/>
      <c r="J77" s="13"/>
      <c r="K77" s="14"/>
      <c r="L77" s="14"/>
      <c r="M77" s="14"/>
      <c r="N77" s="14"/>
      <c r="O77" s="15"/>
      <c r="P77" s="14"/>
      <c r="Q77" s="14"/>
      <c r="R77" s="10"/>
      <c r="S77" s="10"/>
    </row>
    <row r="78" spans="1:19" x14ac:dyDescent="0.2">
      <c r="A78" s="13"/>
      <c r="B78" s="13"/>
      <c r="C78" s="13"/>
      <c r="D78" s="13"/>
      <c r="E78" s="13"/>
      <c r="F78" s="13"/>
      <c r="G78" s="13"/>
      <c r="H78" s="13"/>
      <c r="I78" s="13"/>
      <c r="J78" s="13"/>
      <c r="K78" s="14"/>
      <c r="L78" s="14"/>
      <c r="M78" s="14"/>
      <c r="N78" s="14"/>
      <c r="O78" s="15"/>
      <c r="P78" s="14"/>
      <c r="Q78" s="14"/>
      <c r="R78" s="10"/>
      <c r="S78" s="10"/>
    </row>
    <row r="79" spans="1:19" x14ac:dyDescent="0.2">
      <c r="A79" s="13"/>
      <c r="B79" s="13"/>
      <c r="C79" s="13"/>
      <c r="D79" s="13"/>
      <c r="E79" s="13"/>
      <c r="F79" s="13"/>
      <c r="G79" s="13"/>
      <c r="H79" s="13"/>
      <c r="I79" s="13"/>
      <c r="J79" s="13"/>
      <c r="K79" s="14"/>
      <c r="L79" s="14"/>
      <c r="M79" s="14"/>
      <c r="N79" s="14"/>
      <c r="O79" s="15"/>
      <c r="P79" s="14"/>
      <c r="Q79" s="14"/>
      <c r="R79" s="10"/>
      <c r="S79" s="10"/>
    </row>
    <row r="80" spans="1:19" x14ac:dyDescent="0.2">
      <c r="A80" s="13"/>
      <c r="B80" s="13"/>
      <c r="C80" s="13"/>
      <c r="D80" s="13"/>
      <c r="E80" s="13"/>
      <c r="F80" s="13"/>
      <c r="G80" s="13"/>
      <c r="H80" s="13"/>
      <c r="I80" s="13"/>
      <c r="J80" s="13"/>
      <c r="K80" s="14"/>
      <c r="L80" s="14"/>
      <c r="M80" s="14"/>
      <c r="N80" s="14"/>
      <c r="O80" s="15"/>
      <c r="P80" s="14"/>
      <c r="Q80" s="14"/>
      <c r="R80" s="10"/>
      <c r="S80" s="10"/>
    </row>
    <row r="81" spans="1:19" x14ac:dyDescent="0.2">
      <c r="A81" s="13"/>
      <c r="B81" s="13"/>
      <c r="C81" s="13"/>
      <c r="D81" s="13"/>
      <c r="E81" s="13"/>
      <c r="F81" s="13"/>
      <c r="G81" s="13"/>
      <c r="H81" s="13"/>
      <c r="I81" s="13"/>
      <c r="J81" s="13"/>
      <c r="K81" s="14"/>
      <c r="L81" s="14"/>
      <c r="M81" s="14"/>
      <c r="N81" s="14"/>
      <c r="O81" s="15"/>
      <c r="P81" s="14"/>
      <c r="Q81" s="14"/>
      <c r="R81" s="10"/>
      <c r="S81" s="10"/>
    </row>
    <row r="82" spans="1:19" x14ac:dyDescent="0.2">
      <c r="A82" s="13"/>
      <c r="B82" s="13"/>
      <c r="C82" s="13"/>
      <c r="D82" s="13"/>
      <c r="E82" s="13"/>
      <c r="F82" s="13"/>
      <c r="G82" s="13"/>
      <c r="H82" s="13"/>
      <c r="I82" s="13"/>
      <c r="J82" s="13"/>
      <c r="K82" s="14"/>
      <c r="L82" s="14"/>
      <c r="M82" s="14"/>
      <c r="N82" s="14"/>
      <c r="O82" s="15"/>
      <c r="P82" s="14"/>
      <c r="Q82" s="14"/>
      <c r="R82" s="10"/>
      <c r="S82" s="10"/>
    </row>
    <row r="83" spans="1:19" x14ac:dyDescent="0.2">
      <c r="A83" s="13"/>
      <c r="B83" s="13"/>
      <c r="C83" s="13"/>
      <c r="D83" s="13"/>
      <c r="E83" s="13"/>
      <c r="F83" s="13"/>
      <c r="G83" s="13"/>
      <c r="H83" s="13"/>
      <c r="I83" s="13"/>
      <c r="J83" s="13"/>
      <c r="K83" s="14"/>
      <c r="L83" s="14"/>
      <c r="M83" s="14"/>
      <c r="N83" s="14"/>
      <c r="O83" s="15"/>
      <c r="P83" s="14"/>
      <c r="Q83" s="14"/>
      <c r="R83" s="10"/>
      <c r="S83" s="10"/>
    </row>
    <row r="84" spans="1:19" x14ac:dyDescent="0.2">
      <c r="A84" s="13"/>
      <c r="B84" s="13"/>
      <c r="C84" s="13"/>
      <c r="D84" s="13"/>
      <c r="E84" s="13"/>
      <c r="F84" s="13"/>
      <c r="G84" s="13"/>
      <c r="H84" s="13"/>
      <c r="I84" s="13"/>
      <c r="J84" s="13"/>
      <c r="K84" s="14"/>
      <c r="L84" s="14"/>
      <c r="M84" s="14"/>
      <c r="N84" s="14"/>
      <c r="O84" s="15"/>
      <c r="P84" s="14"/>
      <c r="Q84" s="14"/>
      <c r="R84" s="10"/>
      <c r="S84" s="10"/>
    </row>
    <row r="85" spans="1:19" x14ac:dyDescent="0.2">
      <c r="A85" s="13"/>
      <c r="B85" s="13"/>
      <c r="C85" s="13"/>
      <c r="D85" s="13"/>
      <c r="E85" s="13"/>
      <c r="F85" s="13"/>
      <c r="G85" s="13"/>
      <c r="H85" s="13"/>
      <c r="I85" s="13"/>
      <c r="J85" s="13"/>
      <c r="K85" s="14"/>
      <c r="L85" s="14"/>
      <c r="M85" s="14"/>
      <c r="N85" s="14"/>
      <c r="O85" s="15"/>
      <c r="P85" s="14"/>
      <c r="Q85" s="14"/>
      <c r="R85" s="10"/>
      <c r="S85" s="10"/>
    </row>
    <row r="86" spans="1:19" x14ac:dyDescent="0.2">
      <c r="A86" s="13"/>
      <c r="B86" s="13"/>
      <c r="C86" s="13"/>
      <c r="D86" s="13"/>
      <c r="E86" s="13"/>
      <c r="F86" s="13"/>
      <c r="G86" s="13"/>
      <c r="H86" s="13"/>
      <c r="I86" s="13"/>
      <c r="J86" s="13"/>
      <c r="K86" s="14"/>
      <c r="L86" s="14"/>
      <c r="M86" s="14"/>
      <c r="N86" s="14"/>
      <c r="O86" s="15"/>
      <c r="P86" s="14"/>
      <c r="Q86" s="14"/>
      <c r="R86" s="10"/>
      <c r="S86" s="10"/>
    </row>
    <row r="87" spans="1:19" x14ac:dyDescent="0.2">
      <c r="A87" s="13"/>
      <c r="B87" s="13"/>
      <c r="C87" s="13"/>
      <c r="D87" s="13"/>
      <c r="E87" s="13"/>
      <c r="F87" s="13"/>
      <c r="G87" s="13"/>
      <c r="H87" s="13"/>
      <c r="I87" s="13"/>
      <c r="J87" s="13"/>
      <c r="K87" s="14"/>
      <c r="L87" s="14"/>
      <c r="M87" s="14"/>
      <c r="N87" s="14"/>
      <c r="O87" s="15"/>
      <c r="P87" s="14"/>
      <c r="Q87" s="14"/>
      <c r="R87" s="10"/>
      <c r="S87" s="10"/>
    </row>
    <row r="88" spans="1:19" x14ac:dyDescent="0.2">
      <c r="A88" s="13"/>
      <c r="B88" s="13"/>
      <c r="C88" s="13"/>
      <c r="D88" s="13"/>
      <c r="E88" s="13"/>
      <c r="F88" s="13"/>
      <c r="G88" s="13"/>
      <c r="H88" s="13"/>
      <c r="I88" s="13"/>
      <c r="J88" s="13"/>
      <c r="K88" s="14"/>
      <c r="L88" s="14"/>
      <c r="M88" s="14"/>
      <c r="N88" s="14"/>
      <c r="O88" s="15"/>
      <c r="P88" s="14"/>
      <c r="Q88" s="14"/>
      <c r="R88" s="10"/>
      <c r="S88" s="10"/>
    </row>
    <row r="89" spans="1:19" x14ac:dyDescent="0.2">
      <c r="A89" s="13"/>
      <c r="B89" s="13"/>
      <c r="C89" s="13"/>
      <c r="D89" s="13"/>
      <c r="E89" s="13"/>
      <c r="F89" s="13"/>
      <c r="G89" s="13"/>
      <c r="H89" s="13"/>
      <c r="I89" s="13"/>
      <c r="J89" s="13"/>
      <c r="K89" s="14"/>
      <c r="L89" s="14"/>
      <c r="M89" s="14"/>
      <c r="N89" s="14"/>
      <c r="O89" s="15"/>
      <c r="P89" s="14"/>
      <c r="Q89" s="14"/>
      <c r="R89" s="10"/>
      <c r="S89" s="10"/>
    </row>
    <row r="90" spans="1:19" x14ac:dyDescent="0.2">
      <c r="A90" s="13"/>
      <c r="B90" s="13"/>
      <c r="C90" s="13"/>
      <c r="D90" s="13"/>
      <c r="E90" s="13"/>
      <c r="F90" s="13"/>
      <c r="G90" s="13"/>
      <c r="H90" s="13"/>
      <c r="I90" s="13"/>
      <c r="J90" s="13"/>
      <c r="K90" s="14"/>
      <c r="L90" s="14"/>
      <c r="M90" s="14"/>
      <c r="N90" s="14"/>
      <c r="O90" s="15"/>
      <c r="P90" s="14"/>
      <c r="Q90" s="14"/>
      <c r="R90" s="10"/>
      <c r="S90" s="10"/>
    </row>
    <row r="91" spans="1:19" x14ac:dyDescent="0.2">
      <c r="A91" s="13"/>
      <c r="B91" s="13"/>
      <c r="C91" s="13"/>
      <c r="D91" s="13"/>
      <c r="E91" s="13"/>
      <c r="F91" s="13"/>
      <c r="G91" s="13"/>
      <c r="H91" s="13"/>
      <c r="I91" s="13"/>
      <c r="J91" s="13"/>
      <c r="K91" s="14"/>
      <c r="L91" s="14"/>
      <c r="M91" s="14"/>
      <c r="N91" s="14"/>
      <c r="O91" s="15"/>
      <c r="P91" s="14"/>
      <c r="Q91" s="14"/>
      <c r="R91" s="10"/>
      <c r="S91" s="10"/>
    </row>
    <row r="92" spans="1:19" x14ac:dyDescent="0.2">
      <c r="A92" s="13"/>
      <c r="B92" s="13"/>
      <c r="C92" s="13"/>
      <c r="D92" s="13"/>
      <c r="E92" s="13"/>
      <c r="F92" s="13"/>
      <c r="G92" s="13"/>
      <c r="H92" s="13"/>
      <c r="I92" s="13"/>
      <c r="J92" s="13"/>
      <c r="K92" s="14"/>
      <c r="L92" s="14"/>
      <c r="M92" s="14"/>
      <c r="N92" s="14"/>
      <c r="O92" s="15"/>
      <c r="P92" s="14"/>
      <c r="Q92" s="14"/>
      <c r="R92" s="10"/>
      <c r="S92" s="10"/>
    </row>
    <row r="93" spans="1:19" x14ac:dyDescent="0.2">
      <c r="A93" s="13"/>
      <c r="B93" s="13"/>
      <c r="C93" s="13"/>
      <c r="D93" s="13"/>
      <c r="E93" s="13"/>
      <c r="F93" s="13"/>
      <c r="G93" s="13"/>
      <c r="H93" s="13"/>
      <c r="I93" s="13"/>
      <c r="J93" s="13"/>
      <c r="K93" s="14"/>
      <c r="L93" s="14"/>
      <c r="M93" s="14"/>
      <c r="N93" s="14"/>
      <c r="O93" s="15"/>
      <c r="P93" s="14"/>
      <c r="Q93" s="14"/>
      <c r="R93" s="10"/>
      <c r="S93" s="10"/>
    </row>
    <row r="94" spans="1:19" x14ac:dyDescent="0.2">
      <c r="A94" s="13"/>
      <c r="B94" s="13"/>
      <c r="C94" s="13"/>
      <c r="D94" s="13"/>
      <c r="E94" s="13"/>
      <c r="F94" s="13"/>
      <c r="G94" s="13"/>
      <c r="H94" s="13"/>
      <c r="I94" s="13"/>
      <c r="J94" s="13"/>
      <c r="K94" s="14"/>
      <c r="L94" s="14"/>
      <c r="M94" s="14"/>
      <c r="N94" s="14"/>
      <c r="O94" s="15"/>
      <c r="P94" s="14"/>
      <c r="Q94" s="14"/>
      <c r="R94" s="10"/>
      <c r="S94" s="10"/>
    </row>
    <row r="95" spans="1:19" x14ac:dyDescent="0.2">
      <c r="A95" s="13"/>
      <c r="B95" s="13"/>
      <c r="C95" s="13"/>
      <c r="D95" s="13"/>
      <c r="E95" s="13"/>
      <c r="F95" s="13"/>
      <c r="G95" s="13"/>
      <c r="H95" s="13"/>
      <c r="I95" s="13"/>
      <c r="J95" s="13"/>
      <c r="K95" s="14"/>
      <c r="L95" s="14"/>
      <c r="M95" s="14"/>
      <c r="N95" s="14"/>
      <c r="O95" s="15"/>
      <c r="P95" s="14"/>
      <c r="Q95" s="14"/>
      <c r="R95" s="10"/>
      <c r="S95" s="10"/>
    </row>
    <row r="96" spans="1:19" x14ac:dyDescent="0.2">
      <c r="A96" s="13"/>
      <c r="B96" s="13"/>
      <c r="C96" s="13"/>
      <c r="D96" s="13"/>
      <c r="E96" s="13"/>
      <c r="F96" s="13"/>
      <c r="G96" s="13"/>
      <c r="H96" s="13"/>
      <c r="I96" s="13"/>
      <c r="J96" s="13"/>
      <c r="K96" s="14"/>
      <c r="L96" s="14"/>
      <c r="M96" s="14"/>
      <c r="N96" s="14"/>
      <c r="O96" s="15"/>
      <c r="P96" s="14"/>
      <c r="Q96" s="14"/>
      <c r="R96" s="10"/>
      <c r="S96" s="10"/>
    </row>
    <row r="97" spans="1:19" x14ac:dyDescent="0.2">
      <c r="A97" s="13"/>
      <c r="B97" s="13"/>
      <c r="C97" s="13"/>
      <c r="D97" s="13"/>
      <c r="E97" s="13"/>
      <c r="F97" s="13"/>
      <c r="G97" s="13"/>
      <c r="H97" s="13"/>
      <c r="I97" s="13"/>
      <c r="J97" s="13"/>
      <c r="K97" s="14"/>
      <c r="L97" s="14"/>
      <c r="M97" s="14"/>
      <c r="N97" s="14"/>
      <c r="O97" s="15"/>
      <c r="P97" s="14"/>
      <c r="Q97" s="14"/>
      <c r="R97" s="10"/>
      <c r="S97" s="10"/>
    </row>
    <row r="98" spans="1:19" x14ac:dyDescent="0.2">
      <c r="A98" s="13"/>
      <c r="B98" s="13"/>
      <c r="C98" s="13"/>
      <c r="D98" s="13"/>
      <c r="E98" s="13"/>
      <c r="F98" s="13"/>
      <c r="G98" s="13"/>
      <c r="H98" s="13"/>
      <c r="I98" s="13"/>
      <c r="J98" s="13"/>
      <c r="K98" s="14"/>
      <c r="L98" s="14"/>
      <c r="M98" s="14"/>
      <c r="N98" s="14"/>
      <c r="O98" s="15"/>
      <c r="P98" s="14"/>
      <c r="Q98" s="14"/>
      <c r="R98" s="10"/>
      <c r="S98" s="10"/>
    </row>
    <row r="99" spans="1:19" x14ac:dyDescent="0.2">
      <c r="A99" s="13"/>
      <c r="B99" s="13"/>
      <c r="C99" s="13"/>
      <c r="D99" s="13"/>
      <c r="E99" s="13"/>
      <c r="F99" s="13"/>
      <c r="G99" s="13"/>
      <c r="H99" s="13"/>
      <c r="I99" s="13"/>
      <c r="J99" s="13"/>
      <c r="K99" s="14"/>
      <c r="L99" s="14"/>
      <c r="M99" s="14"/>
      <c r="N99" s="14"/>
      <c r="O99" s="15"/>
      <c r="P99" s="14"/>
      <c r="Q99" s="14"/>
      <c r="R99" s="10"/>
      <c r="S99" s="10"/>
    </row>
    <row r="100" spans="1:19" x14ac:dyDescent="0.2">
      <c r="A100" s="13"/>
      <c r="B100" s="13"/>
      <c r="C100" s="13"/>
      <c r="D100" s="13"/>
      <c r="E100" s="13"/>
      <c r="F100" s="13"/>
      <c r="G100" s="13"/>
      <c r="H100" s="13"/>
      <c r="I100" s="13"/>
      <c r="J100" s="13"/>
      <c r="K100" s="14"/>
      <c r="L100" s="14"/>
      <c r="M100" s="14"/>
      <c r="N100" s="14"/>
      <c r="O100" s="15"/>
      <c r="P100" s="14"/>
      <c r="Q100" s="14"/>
      <c r="R100" s="10"/>
      <c r="S100" s="10"/>
    </row>
  </sheetData>
  <sheetProtection sheet="1" objects="1" scenarios="1" formatColumns="0" formatRows="0" insertRows="0" deleteRows="0"/>
  <dataConsolidate/>
  <conditionalFormatting sqref="H2:H100">
    <cfRule type="expression" dxfId="50" priority="10" stopIfTrue="1">
      <formula>AND(ISBLANK(H2), COUNTA(A2:Q2))</formula>
    </cfRule>
  </conditionalFormatting>
  <conditionalFormatting sqref="K2:K100">
    <cfRule type="expression" dxfId="49" priority="9" stopIfTrue="1">
      <formula>AND(NOT(ISBLANK(K2)), COUNTIF(measureMethodList,K2)=0)</formula>
    </cfRule>
  </conditionalFormatting>
  <conditionalFormatting sqref="L2:L100">
    <cfRule type="expression" dxfId="48" priority="8" stopIfTrue="1">
      <formula>AND(OR(NOT(ISNUMBER(L2)),L2&lt;0,L2&gt;1000000,IFERROR(INT(L2*10000)/10000&lt;&gt;L2,TRUE)), COUNTA(A2:Q2), NOT(ISBLANK(L2)))</formula>
    </cfRule>
  </conditionalFormatting>
  <conditionalFormatting sqref="N2:N100">
    <cfRule type="expression" dxfId="47" priority="6" stopIfTrue="1">
      <formula>AND(OR(NOT(ISNUMBER(N2)),N2&lt;0,N2&gt;1000000,IFERROR(INT(N2*10000)/10000&lt;&gt;N2,TRUE)), COUNTA(A2:Q2), NOT(ISBLANK(N2)))</formula>
    </cfRule>
  </conditionalFormatting>
  <conditionalFormatting sqref="A2:A100">
    <cfRule type="expression" dxfId="46" priority="22" stopIfTrue="1">
      <formula>AND(NOT(ISBLANK(A2)), COUNTIF(publiRefs,A2)=0)</formula>
    </cfRule>
    <cfRule type="expression" dxfId="45" priority="23" stopIfTrue="1">
      <formula>AND(ISBLANK(A2), COUNTA(A2:Q2))</formula>
    </cfRule>
  </conditionalFormatting>
  <conditionalFormatting sqref="B2:B100">
    <cfRule type="expression" dxfId="44" priority="20" stopIfTrue="1">
      <formula>AND(NOT(ISBLANK(B2)), COUNTIF(ingredientsRefs,B2)=0)</formula>
    </cfRule>
    <cfRule type="expression" dxfId="43" priority="21" stopIfTrue="1">
      <formula>AND(ISBLANK(B2), COUNTA(A2:Q2))</formula>
    </cfRule>
  </conditionalFormatting>
  <conditionalFormatting sqref="C2:C100">
    <cfRule type="expression" dxfId="42" priority="18" stopIfTrue="1">
      <formula>AND(NOT(ISBLANK(C2)), COUNTIF(testedEntitiesList,C2)=0)</formula>
    </cfRule>
    <cfRule type="expression" dxfId="41" priority="19" stopIfTrue="1">
      <formula>AND(ISBLANK(C2), COUNTA(A2:Q2))</formula>
    </cfRule>
  </conditionalFormatting>
  <conditionalFormatting sqref="D2:D100">
    <cfRule type="expression" dxfId="40" priority="15" stopIfTrue="1">
      <formula>AND(NOT(ISBLANK(D2)), COUNTIF(extractionSolventList,D2)=0)</formula>
    </cfRule>
    <cfRule type="expression" dxfId="39" priority="16" stopIfTrue="1">
      <formula>AND(C2&lt;&gt;INDEX(extractionSolventList,1), NOT(ISBLANK(D2)))</formula>
    </cfRule>
    <cfRule type="expression" dxfId="38" priority="17" stopIfTrue="1">
      <formula>AND(C2&lt;&gt;INDEX(extractionSolventList,1), COUNTA(A2:Q2))</formula>
    </cfRule>
  </conditionalFormatting>
  <conditionalFormatting sqref="F2:F100">
    <cfRule type="expression" dxfId="37" priority="13" stopIfTrue="1">
      <formula>AND(C2&lt;&gt;INDEX(testedEntitiesList,3), NOT(ISBLANK(F2)))</formula>
    </cfRule>
    <cfRule type="expression" dxfId="36" priority="14" stopIfTrue="1">
      <formula>AND(C2&lt;&gt;INDEX(testedEntitiesList,3), COUNTA(A2:Q2))</formula>
    </cfRule>
  </conditionalFormatting>
  <conditionalFormatting sqref="G2:G100">
    <cfRule type="expression" dxfId="35" priority="11" stopIfTrue="1">
      <formula>AND(ISBLANK(G2), COUNTA(A2:Q2))</formula>
    </cfRule>
    <cfRule type="expression" dxfId="34" priority="12" stopIfTrue="1">
      <formula>AND(NOT(ISBLANK(G2)), COUNTIF(inVitroScreeningTestList,G2)=0)</formula>
    </cfRule>
  </conditionalFormatting>
  <conditionalFormatting sqref="M2:M100">
    <cfRule type="expression" dxfId="33" priority="7" stopIfTrue="1">
      <formula>AND(OR(NOT(ISNUMBER(M2)),M2&lt;0,M2&gt;100,IFERROR(INT(M2*100)/100&lt;&gt;M2,TRUE)), COUNTA(A2:Q2), NOT(ISBLANK(M2)))</formula>
    </cfRule>
  </conditionalFormatting>
  <conditionalFormatting sqref="O2:O100">
    <cfRule type="expression" dxfId="32" priority="4" stopIfTrue="1">
      <formula>AND(NOT(ISBLANK(O2)), COUNTIF(yesNo,O2)=0)</formula>
    </cfRule>
    <cfRule type="expression" dxfId="31" priority="5" stopIfTrue="1">
      <formula>AND(ISBLANK(O2), COUNTA(A2:Q2))</formula>
    </cfRule>
  </conditionalFormatting>
  <conditionalFormatting sqref="P2:P100">
    <cfRule type="expression" dxfId="30" priority="1" stopIfTrue="1">
      <formula>AND(OR(NOT(ISNUMBER(P2)),P2&lt;0,P2&gt;1000000,IFERROR(INT(P2*10000)/10000&lt;&gt;P2,TRUE)), COUNTA(A2:Q2), NOT(ISBLANK(P2)))</formula>
    </cfRule>
    <cfRule type="expression" dxfId="29" priority="2" stopIfTrue="1">
      <formula>AND(O2&lt;&gt;INDEX(yesNo,1), NOT(ISBLANK(P2)))</formula>
    </cfRule>
    <cfRule type="expression" dxfId="28" priority="3" stopIfTrue="1">
      <formula>AND(O2&lt;&gt;INDEX(yesNo,1), COUNTA(A2:Q2))</formula>
    </cfRule>
  </conditionalFormatting>
  <dataValidations xWindow="374" yWindow="360" count="16">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s)" error="Only the values in the list are valids." promptTitle="Plant ingredient(s)" prompt="Select a combinaison of plant ingredients by clicking on the dropdown arrow." sqref="B2:B100">
      <formula1>ingredientsRefs</formula1>
    </dataValidation>
    <dataValidation type="list" errorStyle="warning" allowBlank="1" showInputMessage="1" showErrorMessage="1" errorTitle="Error: Tested entity" error="Only the values in the list are valids." promptTitle="Tested entity" prompt="Select an entity by clicking on the dropdown arrow." sqref="C2:C100">
      <formula1>testedEntitiesList</formula1>
    </dataValidation>
    <dataValidation type="list" errorStyle="warning" allowBlank="1" showInputMessage="1" showErrorMessage="1" errorTitle="Error: Extraction solvent" error="Only the values in the list are valids." promptTitle="Extraction solvent" prompt="Only if Tested entity is 'Extract'._x000a__x000a_Select an entity by clicking on the dropdown arrow." sqref="D2:D100">
      <formula1>extractionSolventList</formula1>
    </dataValidation>
    <dataValidation errorStyle="warning" allowBlank="1" showInputMessage="1" promptTitle="Additive product" sqref="E2:E100"/>
    <dataValidation type="custom" errorStyle="warning" allowBlank="1" showInputMessage="1" showErrorMessage="1" errorTitle="Error: Compound name" error="No value accepted when the Tested entity is not 'Compound'." promptTitle="Compound name" prompt="Only if Tested entity is 'Compound'." sqref="F2:F100">
      <formula1>C2="Compound"</formula1>
    </dataValidation>
    <dataValidation type="list" errorStyle="warning" allowBlank="1" showInputMessage="1" showErrorMessage="1" errorTitle="Error: Screening test" error="Only the dropdown list values are valids." promptTitle="Screening test" prompt="Select a screening test by clicking on the dropdown arrow." sqref="G2:G100">
      <formula1>inVitroScreeningTestList</formula1>
    </dataValidation>
    <dataValidation errorStyle="warning" allowBlank="1" showInputMessage="1" promptTitle="Parasite" prompt="Enter the parasite species : genus and specific epithet (genus has his first letter capitalized, the specific epithet is uncapitalized)." sqref="H2:H100"/>
    <dataValidation errorStyle="warning" allowBlank="1" showInputMessage="1" promptTitle="Parasite details" prompt="Please enter the available information : strain, drug-sensitive properties and parasite origin." sqref="I2:I100"/>
    <dataValidation type="list" errorStyle="warning" allowBlank="1" showInputMessage="1" showErrorMessage="1" errorTitle="Error: Measure method" error="Only the dropdown list values are valids." promptTitle="Measure method" prompt="Select a method by clicking on the dropdown arrow." sqref="K2:K100">
      <formula1>measureMethodList</formula1>
    </dataValidation>
    <dataValidation type="decimal" errorStyle="warning" allowBlank="1" showInputMessage="1" showErrorMessage="1" errorTitle="Error: Concentration" error="Only a floating point number between 0 and 1000000 is accepted." promptTitle="Concentration" prompt="The floating point number must have a maximum of 4 digits after the point." sqref="L2:L100">
      <formula1>0</formula1>
      <formula2>1000000</formula2>
    </dataValidation>
    <dataValidation type="decimal" errorStyle="warning" allowBlank="1" showInputMessage="1" showErrorMessage="1" errorTitle="Error: Inhibition" error="Only a floating point number between 0 and 100 is accepted." promptTitle="Inhibition" prompt="The floating point number must have a maximum of 2 digits after the point." sqref="M2:M100">
      <formula1>0</formula1>
      <formula2>100</formula2>
    </dataValidation>
    <dataValidation type="decimal" errorStyle="warning" allowBlank="1" showInputMessage="1" showErrorMessage="1" errorTitle="Error: IC50" error="Only a floating point number between 0 and 1000000 is accepted." promptTitle="IC50" prompt="The floating point number must have a maximum of 4 digits after the point." sqref="N2:N100">
      <formula1>0</formula1>
      <formula2>1000000</formula2>
    </dataValidation>
    <dataValidation type="list" errorStyle="warning" allowBlank="1" showInputMessage="1" showErrorMessage="1" errorTitle="Error: Toxicity" error="Only Yes or No are valids." promptTitle="Toxicity" prompt="Tell if some toxicity test is included in the paper by clicking on the dropdown arrow." sqref="O2:O100">
      <formula1>yesNo</formula1>
    </dataValidation>
    <dataValidation type="decimal" errorStyle="warning" allowBlank="1" showInputMessage="1" showErrorMessage="1" errorTitle="Error: TC50" error="Only a floating point number between 0 and 1000000 is accepted." promptTitle="TC50" prompt="The floating point number must have a maximum of 4 digits after the point." sqref="P2:P100">
      <formula1>0</formula1>
      <formula2>1000000</formula2>
    </dataValidation>
    <dataValidation errorStyle="warning" allowBlank="1" showInputMessage="1" promptTitle="Experimental observations" sqref="Q2:Q100"/>
  </dataValidation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Roman,Normal"&amp;A</oddHeader>
    <oddFooter>&amp;C&amp;"Times New Roman,Normal"Page &amp;P</oddFoot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100"/>
  <sheetViews>
    <sheetView zoomScale="115" zoomScaleNormal="115" workbookViewId="0">
      <selection activeCell="A2" sqref="A2"/>
    </sheetView>
  </sheetViews>
  <sheetFormatPr defaultColWidth="10.5703125" defaultRowHeight="12.75" x14ac:dyDescent="0.2"/>
  <cols>
    <col min="1" max="1" width="65.140625" style="33" customWidth="1"/>
    <col min="2" max="2" width="64.140625" style="33" customWidth="1"/>
    <col min="3" max="16384" width="10.5703125" style="10"/>
  </cols>
  <sheetData>
    <row r="1" spans="1:2" ht="39.75" customHeight="1" x14ac:dyDescent="0.2">
      <c r="A1" s="43" t="s">
        <v>620</v>
      </c>
      <c r="B1" s="43" t="s">
        <v>613</v>
      </c>
    </row>
    <row r="2" spans="1:2" x14ac:dyDescent="0.2">
      <c r="A2" s="13"/>
      <c r="B2" s="13"/>
    </row>
    <row r="3" spans="1:2" x14ac:dyDescent="0.2">
      <c r="A3" s="13"/>
      <c r="B3" s="13"/>
    </row>
    <row r="4" spans="1:2" x14ac:dyDescent="0.2">
      <c r="A4" s="13"/>
      <c r="B4" s="13"/>
    </row>
    <row r="5" spans="1:2" x14ac:dyDescent="0.2">
      <c r="A5" s="13"/>
      <c r="B5" s="13"/>
    </row>
    <row r="6" spans="1:2" x14ac:dyDescent="0.2">
      <c r="A6" s="13"/>
      <c r="B6" s="13"/>
    </row>
    <row r="7" spans="1:2" x14ac:dyDescent="0.2">
      <c r="A7" s="13"/>
      <c r="B7" s="13"/>
    </row>
    <row r="8" spans="1:2" x14ac:dyDescent="0.2">
      <c r="A8" s="13"/>
      <c r="B8" s="13"/>
    </row>
    <row r="9" spans="1:2" x14ac:dyDescent="0.2">
      <c r="A9" s="13"/>
      <c r="B9" s="13"/>
    </row>
    <row r="10" spans="1:2" x14ac:dyDescent="0.2">
      <c r="A10" s="13"/>
      <c r="B10" s="13"/>
    </row>
    <row r="11" spans="1:2" x14ac:dyDescent="0.2">
      <c r="A11" s="13"/>
      <c r="B11" s="13"/>
    </row>
    <row r="12" spans="1:2" x14ac:dyDescent="0.2">
      <c r="A12" s="13"/>
      <c r="B12" s="13"/>
    </row>
    <row r="13" spans="1:2" x14ac:dyDescent="0.2">
      <c r="A13" s="13"/>
      <c r="B13" s="13"/>
    </row>
    <row r="14" spans="1:2" x14ac:dyDescent="0.2">
      <c r="A14" s="13"/>
      <c r="B14" s="13"/>
    </row>
    <row r="15" spans="1:2" x14ac:dyDescent="0.2">
      <c r="A15" s="13"/>
      <c r="B15" s="13"/>
    </row>
    <row r="16" spans="1:2" x14ac:dyDescent="0.2">
      <c r="A16" s="13"/>
      <c r="B16" s="13"/>
    </row>
    <row r="17" spans="1:2" x14ac:dyDescent="0.2">
      <c r="A17" s="13"/>
      <c r="B17" s="13"/>
    </row>
    <row r="18" spans="1:2" x14ac:dyDescent="0.2">
      <c r="A18" s="13"/>
      <c r="B18" s="13"/>
    </row>
    <row r="19" spans="1:2" x14ac:dyDescent="0.2">
      <c r="A19" s="13"/>
      <c r="B19" s="13"/>
    </row>
    <row r="20" spans="1:2" x14ac:dyDescent="0.2">
      <c r="A20" s="13"/>
      <c r="B20" s="13"/>
    </row>
    <row r="21" spans="1:2" x14ac:dyDescent="0.2">
      <c r="A21" s="13"/>
      <c r="B21" s="13"/>
    </row>
    <row r="22" spans="1:2" x14ac:dyDescent="0.2">
      <c r="A22" s="13"/>
      <c r="B22" s="13"/>
    </row>
    <row r="23" spans="1:2" x14ac:dyDescent="0.2">
      <c r="A23" s="13"/>
      <c r="B23" s="13"/>
    </row>
    <row r="24" spans="1:2" x14ac:dyDescent="0.2">
      <c r="A24" s="13"/>
      <c r="B24" s="13"/>
    </row>
    <row r="25" spans="1:2" x14ac:dyDescent="0.2">
      <c r="A25" s="13"/>
      <c r="B25" s="13"/>
    </row>
    <row r="26" spans="1:2" x14ac:dyDescent="0.2">
      <c r="A26" s="13"/>
      <c r="B26" s="13"/>
    </row>
    <row r="27" spans="1:2" x14ac:dyDescent="0.2">
      <c r="A27" s="13"/>
      <c r="B27" s="13"/>
    </row>
    <row r="28" spans="1:2" x14ac:dyDescent="0.2">
      <c r="A28" s="13"/>
      <c r="B28" s="13"/>
    </row>
    <row r="29" spans="1:2" x14ac:dyDescent="0.2">
      <c r="A29" s="13"/>
      <c r="B29" s="13"/>
    </row>
    <row r="30" spans="1:2" x14ac:dyDescent="0.2">
      <c r="A30" s="13"/>
      <c r="B30" s="13"/>
    </row>
    <row r="31" spans="1:2" x14ac:dyDescent="0.2">
      <c r="A31" s="13"/>
      <c r="B31" s="13"/>
    </row>
    <row r="32" spans="1:2" x14ac:dyDescent="0.2">
      <c r="A32" s="13"/>
      <c r="B32" s="13"/>
    </row>
    <row r="33" spans="1:2" x14ac:dyDescent="0.2">
      <c r="A33" s="13"/>
      <c r="B33" s="13"/>
    </row>
    <row r="34" spans="1:2" x14ac:dyDescent="0.2">
      <c r="A34" s="13"/>
      <c r="B34" s="13"/>
    </row>
    <row r="35" spans="1:2" x14ac:dyDescent="0.2">
      <c r="A35" s="13"/>
      <c r="B35" s="13"/>
    </row>
    <row r="36" spans="1:2" x14ac:dyDescent="0.2">
      <c r="A36" s="13"/>
      <c r="B36" s="13"/>
    </row>
    <row r="37" spans="1:2" x14ac:dyDescent="0.2">
      <c r="A37" s="13"/>
      <c r="B37" s="13"/>
    </row>
    <row r="38" spans="1:2" x14ac:dyDescent="0.2">
      <c r="A38" s="13"/>
      <c r="B38" s="13"/>
    </row>
    <row r="39" spans="1:2" x14ac:dyDescent="0.2">
      <c r="A39" s="13"/>
      <c r="B39" s="13"/>
    </row>
    <row r="40" spans="1:2" x14ac:dyDescent="0.2">
      <c r="A40" s="13"/>
      <c r="B40" s="13"/>
    </row>
    <row r="41" spans="1:2" x14ac:dyDescent="0.2">
      <c r="A41" s="13"/>
      <c r="B41" s="13"/>
    </row>
    <row r="42" spans="1:2" x14ac:dyDescent="0.2">
      <c r="A42" s="13"/>
      <c r="B42" s="13"/>
    </row>
    <row r="43" spans="1:2" x14ac:dyDescent="0.2">
      <c r="A43" s="13"/>
      <c r="B43" s="13"/>
    </row>
    <row r="44" spans="1:2" x14ac:dyDescent="0.2">
      <c r="A44" s="13"/>
      <c r="B44" s="13"/>
    </row>
    <row r="45" spans="1:2" x14ac:dyDescent="0.2">
      <c r="A45" s="13"/>
      <c r="B45" s="13"/>
    </row>
    <row r="46" spans="1:2" x14ac:dyDescent="0.2">
      <c r="A46" s="13"/>
      <c r="B46" s="13"/>
    </row>
    <row r="47" spans="1:2" x14ac:dyDescent="0.2">
      <c r="A47" s="13"/>
      <c r="B47" s="13"/>
    </row>
    <row r="48" spans="1:2" x14ac:dyDescent="0.2">
      <c r="A48" s="13"/>
      <c r="B48" s="13"/>
    </row>
    <row r="49" spans="1:2" x14ac:dyDescent="0.2">
      <c r="A49" s="13"/>
      <c r="B49" s="13"/>
    </row>
    <row r="50" spans="1:2" x14ac:dyDescent="0.2">
      <c r="A50" s="13"/>
      <c r="B50" s="13"/>
    </row>
    <row r="51" spans="1:2" x14ac:dyDescent="0.2">
      <c r="A51" s="13"/>
      <c r="B51" s="13"/>
    </row>
    <row r="52" spans="1:2" x14ac:dyDescent="0.2">
      <c r="A52" s="13"/>
      <c r="B52" s="13"/>
    </row>
    <row r="53" spans="1:2" x14ac:dyDescent="0.2">
      <c r="A53" s="13"/>
      <c r="B53" s="13"/>
    </row>
    <row r="54" spans="1:2" x14ac:dyDescent="0.2">
      <c r="A54" s="13"/>
      <c r="B54" s="13"/>
    </row>
    <row r="55" spans="1:2" x14ac:dyDescent="0.2">
      <c r="A55" s="13"/>
      <c r="B55" s="13"/>
    </row>
    <row r="56" spans="1:2" x14ac:dyDescent="0.2">
      <c r="A56" s="13"/>
      <c r="B56" s="13"/>
    </row>
    <row r="57" spans="1:2" x14ac:dyDescent="0.2">
      <c r="A57" s="13"/>
      <c r="B57" s="13"/>
    </row>
    <row r="58" spans="1:2" x14ac:dyDescent="0.2">
      <c r="A58" s="13"/>
      <c r="B58" s="13"/>
    </row>
    <row r="59" spans="1:2" x14ac:dyDescent="0.2">
      <c r="A59" s="13"/>
      <c r="B59" s="13"/>
    </row>
    <row r="60" spans="1:2" x14ac:dyDescent="0.2">
      <c r="A60" s="13"/>
      <c r="B60" s="13"/>
    </row>
    <row r="61" spans="1:2" x14ac:dyDescent="0.2">
      <c r="A61" s="13"/>
      <c r="B61" s="13"/>
    </row>
    <row r="62" spans="1:2" x14ac:dyDescent="0.2">
      <c r="A62" s="13"/>
      <c r="B62" s="13"/>
    </row>
    <row r="63" spans="1:2" x14ac:dyDescent="0.2">
      <c r="A63" s="13"/>
      <c r="B63" s="13"/>
    </row>
    <row r="64" spans="1:2" x14ac:dyDescent="0.2">
      <c r="A64" s="13"/>
      <c r="B64" s="13"/>
    </row>
    <row r="65" spans="1:2" x14ac:dyDescent="0.2">
      <c r="A65" s="13"/>
      <c r="B65" s="13"/>
    </row>
    <row r="66" spans="1:2" x14ac:dyDescent="0.2">
      <c r="A66" s="13"/>
      <c r="B66" s="13"/>
    </row>
    <row r="67" spans="1:2" x14ac:dyDescent="0.2">
      <c r="A67" s="13"/>
      <c r="B67" s="13"/>
    </row>
    <row r="68" spans="1:2" x14ac:dyDescent="0.2">
      <c r="A68" s="13"/>
      <c r="B68" s="13"/>
    </row>
    <row r="69" spans="1:2" x14ac:dyDescent="0.2">
      <c r="A69" s="13"/>
      <c r="B69" s="13"/>
    </row>
    <row r="70" spans="1:2" x14ac:dyDescent="0.2">
      <c r="A70" s="13"/>
      <c r="B70" s="13"/>
    </row>
    <row r="71" spans="1:2" x14ac:dyDescent="0.2">
      <c r="A71" s="13"/>
      <c r="B71" s="13"/>
    </row>
    <row r="72" spans="1:2" x14ac:dyDescent="0.2">
      <c r="A72" s="13"/>
      <c r="B72" s="13"/>
    </row>
    <row r="73" spans="1:2" x14ac:dyDescent="0.2">
      <c r="A73" s="13"/>
      <c r="B73" s="13"/>
    </row>
    <row r="74" spans="1:2" x14ac:dyDescent="0.2">
      <c r="A74" s="13"/>
      <c r="B74" s="13"/>
    </row>
    <row r="75" spans="1:2" x14ac:dyDescent="0.2">
      <c r="A75" s="13"/>
      <c r="B75" s="13"/>
    </row>
    <row r="76" spans="1:2" x14ac:dyDescent="0.2">
      <c r="A76" s="13"/>
      <c r="B76" s="13"/>
    </row>
    <row r="77" spans="1:2" x14ac:dyDescent="0.2">
      <c r="A77" s="13"/>
      <c r="B77" s="13"/>
    </row>
    <row r="78" spans="1:2" x14ac:dyDescent="0.2">
      <c r="A78" s="13"/>
      <c r="B78" s="13"/>
    </row>
    <row r="79" spans="1:2" x14ac:dyDescent="0.2">
      <c r="A79" s="13"/>
      <c r="B79" s="13"/>
    </row>
    <row r="80" spans="1:2" x14ac:dyDescent="0.2">
      <c r="A80" s="13"/>
      <c r="B80" s="13"/>
    </row>
    <row r="81" spans="1:2" x14ac:dyDescent="0.2">
      <c r="A81" s="13"/>
      <c r="B81" s="13"/>
    </row>
    <row r="82" spans="1:2" x14ac:dyDescent="0.2">
      <c r="A82" s="13"/>
      <c r="B82" s="13"/>
    </row>
    <row r="83" spans="1:2" x14ac:dyDescent="0.2">
      <c r="A83" s="13"/>
      <c r="B83" s="13"/>
    </row>
    <row r="84" spans="1:2" x14ac:dyDescent="0.2">
      <c r="A84" s="13"/>
      <c r="B84" s="13"/>
    </row>
    <row r="85" spans="1:2" x14ac:dyDescent="0.2">
      <c r="A85" s="13"/>
      <c r="B85" s="13"/>
    </row>
    <row r="86" spans="1:2" x14ac:dyDescent="0.2">
      <c r="A86" s="13"/>
      <c r="B86" s="13"/>
    </row>
    <row r="87" spans="1:2" x14ac:dyDescent="0.2">
      <c r="A87" s="13"/>
      <c r="B87" s="13"/>
    </row>
    <row r="88" spans="1:2" x14ac:dyDescent="0.2">
      <c r="A88" s="13"/>
      <c r="B88" s="13"/>
    </row>
    <row r="89" spans="1:2" x14ac:dyDescent="0.2">
      <c r="A89" s="13"/>
      <c r="B89" s="13"/>
    </row>
    <row r="90" spans="1:2" x14ac:dyDescent="0.2">
      <c r="A90" s="13"/>
      <c r="B90" s="13"/>
    </row>
    <row r="91" spans="1:2" x14ac:dyDescent="0.2">
      <c r="A91" s="13"/>
      <c r="B91" s="13"/>
    </row>
    <row r="92" spans="1:2" x14ac:dyDescent="0.2">
      <c r="A92" s="13"/>
      <c r="B92" s="13"/>
    </row>
    <row r="93" spans="1:2" x14ac:dyDescent="0.2">
      <c r="A93" s="13"/>
      <c r="B93" s="13"/>
    </row>
    <row r="94" spans="1:2" x14ac:dyDescent="0.2">
      <c r="A94" s="13"/>
      <c r="B94" s="13"/>
    </row>
    <row r="95" spans="1:2" x14ac:dyDescent="0.2">
      <c r="A95" s="13"/>
      <c r="B95" s="13"/>
    </row>
    <row r="96" spans="1:2" x14ac:dyDescent="0.2">
      <c r="A96" s="13"/>
      <c r="B96" s="13"/>
    </row>
    <row r="97" spans="1:2" x14ac:dyDescent="0.2">
      <c r="A97" s="13"/>
      <c r="B97" s="13"/>
    </row>
    <row r="98" spans="1:2" x14ac:dyDescent="0.2">
      <c r="A98" s="13"/>
      <c r="B98" s="13"/>
    </row>
    <row r="99" spans="1:2" x14ac:dyDescent="0.2">
      <c r="A99" s="13"/>
      <c r="B99" s="13"/>
    </row>
    <row r="100" spans="1:2" x14ac:dyDescent="0.2">
      <c r="A100" s="13"/>
      <c r="B100" s="13"/>
    </row>
  </sheetData>
  <sheetProtection sheet="1" objects="1" scenarios="1" formatColumns="0" formatRows="0" insertRows="0" deleteRows="0"/>
  <dataConsolidate/>
  <conditionalFormatting sqref="A2:A100">
    <cfRule type="expression" dxfId="8" priority="3" stopIfTrue="1">
      <formula>AND(NOT(ISBLANK(A2)), COUNTIF(publiRefs,A2)=0)</formula>
    </cfRule>
    <cfRule type="expression" dxfId="7" priority="4" stopIfTrue="1">
      <formula>AND(ISBLANK(A2), COUNTA(A2:U2))</formula>
    </cfRule>
  </conditionalFormatting>
  <conditionalFormatting sqref="B2:B100">
    <cfRule type="expression" dxfId="6" priority="1" stopIfTrue="1">
      <formula>AND(NOT(ISBLANK(B2)), COUNTIF(ingredientsRefs,B2)=0)</formula>
    </cfRule>
    <cfRule type="expression" dxfId="5" priority="2" stopIfTrue="1">
      <formula>AND(ISBLANK(B2), COUNTA(A2:U2))</formula>
    </cfRule>
  </conditionalFormatting>
  <dataValidations count="2">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s)" error="Only the values in the list are valids." promptTitle="Plant ingredient(s)" prompt="Select a combinaison of plant ingredients by clicking on the dropdown arrow." sqref="B2:B100">
      <formula1>ingredientsRefs</formula1>
    </dataValidation>
  </dataValidation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Roman,Normal"&amp;A</oddHeader>
    <oddFooter>&amp;C&amp;"Times New Roman,Normal"Page &amp;P</oddFooter>
  </headerFooter>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O39"/>
  <sheetViews>
    <sheetView topLeftCell="M4" workbookViewId="0">
      <selection activeCell="R19" sqref="R19"/>
    </sheetView>
  </sheetViews>
  <sheetFormatPr defaultColWidth="9.140625" defaultRowHeight="12.75" x14ac:dyDescent="0.2"/>
  <cols>
    <col min="1" max="1" width="21.5703125" customWidth="1"/>
    <col min="2" max="2" width="24.7109375" customWidth="1"/>
    <col min="3" max="3" width="23.28515625" customWidth="1"/>
    <col min="4" max="4" width="22" customWidth="1"/>
    <col min="5" max="5" width="20.42578125" customWidth="1"/>
    <col min="6" max="6" width="16.28515625" customWidth="1"/>
    <col min="7" max="7" width="16.85546875" customWidth="1"/>
    <col min="8" max="8" width="16.28515625" customWidth="1"/>
    <col min="9" max="9" width="18.28515625" customWidth="1"/>
    <col min="10" max="10" width="19.85546875" customWidth="1"/>
    <col min="11" max="11" width="21.7109375" customWidth="1"/>
    <col min="12" max="12" width="21.85546875" customWidth="1"/>
    <col min="13" max="13" width="18.5703125" customWidth="1"/>
    <col min="14" max="24" width="20.42578125" customWidth="1"/>
    <col min="25" max="25" width="22.85546875" customWidth="1"/>
    <col min="26" max="27" width="24" customWidth="1"/>
    <col min="28" max="28" width="25.5703125" customWidth="1"/>
    <col min="29" max="49" width="20.42578125" customWidth="1"/>
  </cols>
  <sheetData>
    <row r="1" spans="1:249" ht="15.75" x14ac:dyDescent="0.25">
      <c r="A1" s="6" t="s">
        <v>556</v>
      </c>
    </row>
    <row r="2" spans="1:249" ht="15.75" x14ac:dyDescent="0.25">
      <c r="A2" s="6"/>
    </row>
    <row r="3" spans="1:249" ht="15.75" x14ac:dyDescent="0.25">
      <c r="A3" s="7" t="s">
        <v>22</v>
      </c>
    </row>
    <row r="4" spans="1:249" x14ac:dyDescent="0.2">
      <c r="A4" t="s">
        <v>704</v>
      </c>
      <c r="B4" t="s">
        <v>705</v>
      </c>
    </row>
    <row r="5" spans="1:249" ht="15.75" x14ac:dyDescent="0.25">
      <c r="A5" s="8"/>
    </row>
    <row r="6" spans="1:249" ht="15.75" x14ac:dyDescent="0.25">
      <c r="A6" s="7" t="s">
        <v>547</v>
      </c>
    </row>
    <row r="7" spans="1:249" x14ac:dyDescent="0.2">
      <c r="A7" t="s">
        <v>302</v>
      </c>
      <c r="B7" t="s">
        <v>303</v>
      </c>
      <c r="C7" t="s">
        <v>304</v>
      </c>
      <c r="D7" t="s">
        <v>305</v>
      </c>
      <c r="E7" t="s">
        <v>306</v>
      </c>
      <c r="F7" t="s">
        <v>307</v>
      </c>
      <c r="G7" t="s">
        <v>308</v>
      </c>
      <c r="H7" t="s">
        <v>309</v>
      </c>
      <c r="I7" t="s">
        <v>310</v>
      </c>
      <c r="J7" t="s">
        <v>311</v>
      </c>
      <c r="K7" t="s">
        <v>296</v>
      </c>
      <c r="L7" t="s">
        <v>312</v>
      </c>
      <c r="M7" t="s">
        <v>313</v>
      </c>
      <c r="N7" t="s">
        <v>314</v>
      </c>
      <c r="O7" t="s">
        <v>315</v>
      </c>
      <c r="P7" t="s">
        <v>316</v>
      </c>
      <c r="Q7" t="s">
        <v>317</v>
      </c>
      <c r="R7" t="s">
        <v>318</v>
      </c>
      <c r="S7" t="s">
        <v>319</v>
      </c>
      <c r="T7" t="s">
        <v>320</v>
      </c>
      <c r="U7" t="s">
        <v>321</v>
      </c>
      <c r="V7" t="s">
        <v>322</v>
      </c>
      <c r="W7" t="s">
        <v>323</v>
      </c>
      <c r="X7" t="s">
        <v>324</v>
      </c>
      <c r="Y7" t="s">
        <v>325</v>
      </c>
      <c r="Z7" t="s">
        <v>326</v>
      </c>
      <c r="AA7" t="s">
        <v>327</v>
      </c>
      <c r="AB7" t="s">
        <v>328</v>
      </c>
      <c r="AC7" t="s">
        <v>329</v>
      </c>
      <c r="AD7" t="s">
        <v>543</v>
      </c>
      <c r="AE7" t="s">
        <v>330</v>
      </c>
      <c r="AF7" t="s">
        <v>331</v>
      </c>
      <c r="AG7" t="s">
        <v>332</v>
      </c>
      <c r="AH7" t="s">
        <v>333</v>
      </c>
      <c r="AI7" t="s">
        <v>334</v>
      </c>
      <c r="AJ7" t="s">
        <v>335</v>
      </c>
      <c r="AK7" t="s">
        <v>336</v>
      </c>
      <c r="AL7" t="s">
        <v>337</v>
      </c>
      <c r="AM7" t="s">
        <v>338</v>
      </c>
      <c r="AN7" t="s">
        <v>339</v>
      </c>
      <c r="AO7" t="s">
        <v>340</v>
      </c>
      <c r="AP7" t="s">
        <v>341</v>
      </c>
      <c r="AQ7" t="s">
        <v>342</v>
      </c>
      <c r="AR7" t="s">
        <v>343</v>
      </c>
      <c r="AS7" t="s">
        <v>344</v>
      </c>
      <c r="AT7" t="s">
        <v>345</v>
      </c>
      <c r="AU7" t="s">
        <v>346</v>
      </c>
      <c r="AV7" t="s">
        <v>347</v>
      </c>
      <c r="AW7" t="s">
        <v>348</v>
      </c>
      <c r="AX7" t="s">
        <v>349</v>
      </c>
      <c r="AY7" t="s">
        <v>350</v>
      </c>
      <c r="AZ7" t="s">
        <v>351</v>
      </c>
      <c r="BA7" t="s">
        <v>544</v>
      </c>
      <c r="BB7" t="s">
        <v>352</v>
      </c>
      <c r="BC7" t="s">
        <v>353</v>
      </c>
      <c r="BD7" t="s">
        <v>354</v>
      </c>
      <c r="BE7" t="s">
        <v>355</v>
      </c>
      <c r="BF7" t="s">
        <v>356</v>
      </c>
      <c r="BG7" t="s">
        <v>357</v>
      </c>
      <c r="BH7" t="s">
        <v>358</v>
      </c>
      <c r="BI7" t="s">
        <v>359</v>
      </c>
      <c r="BJ7" t="s">
        <v>360</v>
      </c>
      <c r="BK7" t="s">
        <v>361</v>
      </c>
      <c r="BL7" t="s">
        <v>362</v>
      </c>
      <c r="BM7" t="s">
        <v>363</v>
      </c>
      <c r="BN7" t="s">
        <v>364</v>
      </c>
      <c r="BO7" t="s">
        <v>365</v>
      </c>
      <c r="BP7" t="s">
        <v>366</v>
      </c>
      <c r="BQ7" t="s">
        <v>367</v>
      </c>
      <c r="BR7" t="s">
        <v>368</v>
      </c>
      <c r="BS7" t="s">
        <v>369</v>
      </c>
      <c r="BT7" t="s">
        <v>370</v>
      </c>
      <c r="BU7" t="s">
        <v>371</v>
      </c>
      <c r="BV7" t="s">
        <v>372</v>
      </c>
      <c r="BW7" t="s">
        <v>373</v>
      </c>
      <c r="BX7" t="s">
        <v>374</v>
      </c>
      <c r="BY7" t="s">
        <v>375</v>
      </c>
      <c r="BZ7" t="s">
        <v>376</v>
      </c>
      <c r="CA7" t="s">
        <v>377</v>
      </c>
      <c r="CB7" t="s">
        <v>378</v>
      </c>
      <c r="CC7" t="s">
        <v>379</v>
      </c>
      <c r="CD7" t="s">
        <v>380</v>
      </c>
      <c r="CE7" t="s">
        <v>381</v>
      </c>
      <c r="CF7" t="s">
        <v>382</v>
      </c>
      <c r="CG7" t="s">
        <v>383</v>
      </c>
      <c r="CH7" t="s">
        <v>384</v>
      </c>
      <c r="CI7" t="s">
        <v>385</v>
      </c>
      <c r="CJ7" t="s">
        <v>386</v>
      </c>
      <c r="CK7" t="s">
        <v>387</v>
      </c>
      <c r="CL7" t="s">
        <v>388</v>
      </c>
      <c r="CM7" t="s">
        <v>389</v>
      </c>
      <c r="CN7" t="s">
        <v>390</v>
      </c>
      <c r="CO7" t="s">
        <v>391</v>
      </c>
      <c r="CP7" t="s">
        <v>392</v>
      </c>
      <c r="CQ7" t="s">
        <v>393</v>
      </c>
      <c r="CR7" t="s">
        <v>394</v>
      </c>
      <c r="CS7" t="s">
        <v>395</v>
      </c>
      <c r="CT7" t="s">
        <v>396</v>
      </c>
      <c r="CU7" t="s">
        <v>397</v>
      </c>
      <c r="CV7" t="s">
        <v>398</v>
      </c>
      <c r="CW7" t="s">
        <v>399</v>
      </c>
      <c r="CX7" t="s">
        <v>400</v>
      </c>
      <c r="CY7" t="s">
        <v>401</v>
      </c>
      <c r="CZ7" t="s">
        <v>402</v>
      </c>
      <c r="DA7" t="s">
        <v>403</v>
      </c>
      <c r="DB7" t="s">
        <v>404</v>
      </c>
      <c r="DC7" t="s">
        <v>405</v>
      </c>
      <c r="DD7" t="s">
        <v>406</v>
      </c>
      <c r="DE7" t="s">
        <v>407</v>
      </c>
      <c r="DF7" t="s">
        <v>408</v>
      </c>
      <c r="DG7" t="s">
        <v>409</v>
      </c>
      <c r="DH7" t="s">
        <v>410</v>
      </c>
      <c r="DI7" t="s">
        <v>411</v>
      </c>
      <c r="DJ7" t="s">
        <v>412</v>
      </c>
      <c r="DK7" t="s">
        <v>413</v>
      </c>
      <c r="DL7" t="s">
        <v>414</v>
      </c>
      <c r="DM7" t="s">
        <v>415</v>
      </c>
      <c r="DN7" t="s">
        <v>416</v>
      </c>
      <c r="DO7" t="s">
        <v>417</v>
      </c>
      <c r="DP7" t="s">
        <v>418</v>
      </c>
      <c r="DQ7" t="s">
        <v>419</v>
      </c>
      <c r="DR7" t="s">
        <v>420</v>
      </c>
      <c r="DS7" t="s">
        <v>421</v>
      </c>
      <c r="DT7" t="s">
        <v>422</v>
      </c>
      <c r="DU7" t="s">
        <v>423</v>
      </c>
      <c r="DV7" t="s">
        <v>424</v>
      </c>
      <c r="DW7" t="s">
        <v>425</v>
      </c>
      <c r="DX7" t="s">
        <v>426</v>
      </c>
      <c r="DY7" t="s">
        <v>427</v>
      </c>
      <c r="DZ7" t="s">
        <v>428</v>
      </c>
      <c r="EA7" t="s">
        <v>429</v>
      </c>
      <c r="EB7" t="s">
        <v>430</v>
      </c>
      <c r="EC7" t="s">
        <v>431</v>
      </c>
      <c r="ED7" t="s">
        <v>432</v>
      </c>
      <c r="EE7" t="s">
        <v>433</v>
      </c>
      <c r="EF7" t="s">
        <v>434</v>
      </c>
      <c r="EG7" t="s">
        <v>435</v>
      </c>
      <c r="EH7" t="s">
        <v>436</v>
      </c>
      <c r="EI7" t="s">
        <v>437</v>
      </c>
      <c r="EJ7" t="s">
        <v>438</v>
      </c>
      <c r="EK7" t="s">
        <v>439</v>
      </c>
      <c r="EL7" t="s">
        <v>440</v>
      </c>
      <c r="EM7" t="s">
        <v>441</v>
      </c>
      <c r="EN7" t="s">
        <v>442</v>
      </c>
      <c r="EO7" t="s">
        <v>443</v>
      </c>
      <c r="EP7" t="s">
        <v>444</v>
      </c>
      <c r="EQ7" t="s">
        <v>445</v>
      </c>
      <c r="ER7" t="s">
        <v>446</v>
      </c>
      <c r="ES7" t="s">
        <v>447</v>
      </c>
      <c r="ET7" t="s">
        <v>448</v>
      </c>
      <c r="EU7" t="s">
        <v>449</v>
      </c>
      <c r="EV7" t="s">
        <v>450</v>
      </c>
      <c r="EW7" t="s">
        <v>451</v>
      </c>
      <c r="EX7" t="s">
        <v>452</v>
      </c>
      <c r="EY7" t="s">
        <v>453</v>
      </c>
      <c r="EZ7" t="s">
        <v>454</v>
      </c>
      <c r="FA7" t="s">
        <v>455</v>
      </c>
      <c r="FB7" t="s">
        <v>456</v>
      </c>
      <c r="FC7" t="s">
        <v>457</v>
      </c>
      <c r="FD7" t="s">
        <v>298</v>
      </c>
      <c r="FE7" t="s">
        <v>458</v>
      </c>
      <c r="FF7" t="s">
        <v>459</v>
      </c>
      <c r="FG7" t="s">
        <v>460</v>
      </c>
      <c r="FH7" t="s">
        <v>461</v>
      </c>
      <c r="FI7" t="s">
        <v>462</v>
      </c>
      <c r="FJ7" t="s">
        <v>463</v>
      </c>
      <c r="FK7" t="s">
        <v>9</v>
      </c>
      <c r="FL7" t="s">
        <v>464</v>
      </c>
      <c r="FM7" t="s">
        <v>465</v>
      </c>
      <c r="FN7" t="s">
        <v>466</v>
      </c>
      <c r="FO7" t="s">
        <v>467</v>
      </c>
      <c r="FP7" t="s">
        <v>468</v>
      </c>
      <c r="FQ7" t="s">
        <v>469</v>
      </c>
      <c r="FR7" t="s">
        <v>470</v>
      </c>
      <c r="FS7" t="s">
        <v>471</v>
      </c>
      <c r="FT7" t="s">
        <v>472</v>
      </c>
      <c r="FU7" t="s">
        <v>473</v>
      </c>
      <c r="FV7" t="s">
        <v>474</v>
      </c>
      <c r="FW7" t="s">
        <v>475</v>
      </c>
      <c r="FX7" t="s">
        <v>476</v>
      </c>
      <c r="FY7" t="s">
        <v>477</v>
      </c>
      <c r="FZ7" t="s">
        <v>478</v>
      </c>
      <c r="GA7" t="s">
        <v>479</v>
      </c>
      <c r="GB7" t="s">
        <v>480</v>
      </c>
      <c r="GC7" t="s">
        <v>481</v>
      </c>
      <c r="GD7" t="s">
        <v>482</v>
      </c>
      <c r="GE7" t="s">
        <v>483</v>
      </c>
      <c r="GF7" t="s">
        <v>484</v>
      </c>
      <c r="GG7" t="s">
        <v>485</v>
      </c>
      <c r="GH7" t="s">
        <v>486</v>
      </c>
      <c r="GI7" t="s">
        <v>487</v>
      </c>
      <c r="GJ7" t="s">
        <v>488</v>
      </c>
      <c r="GK7" t="s">
        <v>300</v>
      </c>
      <c r="GL7" t="s">
        <v>489</v>
      </c>
      <c r="GM7" t="s">
        <v>490</v>
      </c>
      <c r="GN7" t="s">
        <v>491</v>
      </c>
      <c r="GO7" t="s">
        <v>492</v>
      </c>
      <c r="GP7" t="s">
        <v>493</v>
      </c>
      <c r="GQ7" t="s">
        <v>494</v>
      </c>
      <c r="GR7" t="s">
        <v>495</v>
      </c>
      <c r="GS7" t="s">
        <v>496</v>
      </c>
      <c r="GT7" t="s">
        <v>497</v>
      </c>
      <c r="GU7" t="s">
        <v>498</v>
      </c>
      <c r="GV7" t="s">
        <v>499</v>
      </c>
      <c r="GW7" t="s">
        <v>500</v>
      </c>
      <c r="GX7" t="s">
        <v>501</v>
      </c>
      <c r="GY7" t="s">
        <v>502</v>
      </c>
      <c r="GZ7" t="s">
        <v>545</v>
      </c>
      <c r="HA7" t="s">
        <v>503</v>
      </c>
      <c r="HB7" t="s">
        <v>504</v>
      </c>
      <c r="HC7" t="s">
        <v>546</v>
      </c>
      <c r="HD7" t="s">
        <v>505</v>
      </c>
      <c r="HE7" t="s">
        <v>506</v>
      </c>
      <c r="HF7" t="s">
        <v>507</v>
      </c>
      <c r="HG7" t="s">
        <v>508</v>
      </c>
      <c r="HH7" t="s">
        <v>509</v>
      </c>
      <c r="HI7" t="s">
        <v>510</v>
      </c>
      <c r="HJ7" t="s">
        <v>511</v>
      </c>
      <c r="HK7" t="s">
        <v>512</v>
      </c>
      <c r="HL7" t="s">
        <v>513</v>
      </c>
      <c r="HM7" t="s">
        <v>514</v>
      </c>
      <c r="HN7" t="s">
        <v>515</v>
      </c>
      <c r="HO7" t="s">
        <v>516</v>
      </c>
      <c r="HP7" t="s">
        <v>517</v>
      </c>
      <c r="HQ7" t="s">
        <v>518</v>
      </c>
      <c r="HR7" t="s">
        <v>519</v>
      </c>
      <c r="HS7" t="s">
        <v>520</v>
      </c>
      <c r="HT7" t="s">
        <v>521</v>
      </c>
      <c r="HU7" t="s">
        <v>522</v>
      </c>
      <c r="HV7" t="s">
        <v>523</v>
      </c>
      <c r="HW7" t="s">
        <v>524</v>
      </c>
      <c r="HX7" t="s">
        <v>525</v>
      </c>
      <c r="HY7" t="s">
        <v>526</v>
      </c>
      <c r="HZ7" t="s">
        <v>527</v>
      </c>
      <c r="IA7" t="s">
        <v>528</v>
      </c>
      <c r="IB7" t="s">
        <v>529</v>
      </c>
      <c r="IC7" t="s">
        <v>530</v>
      </c>
      <c r="ID7" t="s">
        <v>531</v>
      </c>
      <c r="IE7" t="s">
        <v>532</v>
      </c>
      <c r="IF7" t="s">
        <v>533</v>
      </c>
      <c r="IG7" t="s">
        <v>534</v>
      </c>
      <c r="IH7" t="s">
        <v>535</v>
      </c>
      <c r="II7" t="s">
        <v>536</v>
      </c>
      <c r="IJ7" t="s">
        <v>537</v>
      </c>
      <c r="IK7" t="s">
        <v>538</v>
      </c>
      <c r="IL7" t="s">
        <v>539</v>
      </c>
      <c r="IM7" t="s">
        <v>540</v>
      </c>
      <c r="IN7" t="s">
        <v>541</v>
      </c>
      <c r="IO7" t="s">
        <v>542</v>
      </c>
    </row>
    <row r="8" spans="1:249" x14ac:dyDescent="0.2">
      <c r="A8" t="s">
        <v>288</v>
      </c>
      <c r="B8" t="s">
        <v>287</v>
      </c>
      <c r="C8" t="s">
        <v>286</v>
      </c>
      <c r="D8" t="s">
        <v>285</v>
      </c>
      <c r="E8" t="s">
        <v>284</v>
      </c>
      <c r="F8" t="s">
        <v>283</v>
      </c>
      <c r="G8" t="s">
        <v>282</v>
      </c>
      <c r="H8" t="s">
        <v>281</v>
      </c>
      <c r="I8" t="s">
        <v>280</v>
      </c>
      <c r="J8" t="s">
        <v>279</v>
      </c>
      <c r="K8" t="s">
        <v>278</v>
      </c>
      <c r="L8" t="s">
        <v>277</v>
      </c>
      <c r="M8" t="s">
        <v>276</v>
      </c>
      <c r="N8" t="s">
        <v>275</v>
      </c>
      <c r="O8" t="s">
        <v>274</v>
      </c>
      <c r="P8" t="s">
        <v>273</v>
      </c>
      <c r="Q8" t="s">
        <v>272</v>
      </c>
      <c r="R8" t="s">
        <v>271</v>
      </c>
      <c r="S8" t="s">
        <v>270</v>
      </c>
      <c r="T8" t="s">
        <v>269</v>
      </c>
      <c r="U8" t="s">
        <v>268</v>
      </c>
      <c r="V8" t="s">
        <v>267</v>
      </c>
      <c r="W8" t="s">
        <v>266</v>
      </c>
      <c r="X8" t="s">
        <v>265</v>
      </c>
      <c r="Y8" t="s">
        <v>264</v>
      </c>
      <c r="Z8" t="s">
        <v>263</v>
      </c>
      <c r="AA8" t="s">
        <v>262</v>
      </c>
      <c r="AB8" t="s">
        <v>261</v>
      </c>
      <c r="AC8" t="s">
        <v>260</v>
      </c>
      <c r="AD8" t="s">
        <v>259</v>
      </c>
      <c r="AE8" t="s">
        <v>258</v>
      </c>
      <c r="AF8" t="s">
        <v>257</v>
      </c>
      <c r="AG8" t="s">
        <v>256</v>
      </c>
      <c r="AH8" t="s">
        <v>255</v>
      </c>
      <c r="AI8" t="s">
        <v>254</v>
      </c>
      <c r="AJ8" t="s">
        <v>253</v>
      </c>
      <c r="AK8" t="s">
        <v>252</v>
      </c>
      <c r="AL8" t="s">
        <v>251</v>
      </c>
      <c r="AM8" t="s">
        <v>250</v>
      </c>
      <c r="AN8" t="s">
        <v>249</v>
      </c>
      <c r="AO8" t="s">
        <v>248</v>
      </c>
      <c r="AP8" t="s">
        <v>247</v>
      </c>
      <c r="AQ8" t="s">
        <v>246</v>
      </c>
      <c r="AR8" t="s">
        <v>245</v>
      </c>
      <c r="AS8" t="s">
        <v>244</v>
      </c>
      <c r="AT8" t="s">
        <v>243</v>
      </c>
      <c r="AU8" t="s">
        <v>242</v>
      </c>
      <c r="AV8" t="s">
        <v>241</v>
      </c>
      <c r="AW8" t="s">
        <v>240</v>
      </c>
      <c r="AX8" t="s">
        <v>239</v>
      </c>
      <c r="AY8" t="s">
        <v>238</v>
      </c>
      <c r="AZ8" t="s">
        <v>237</v>
      </c>
      <c r="BA8" t="s">
        <v>236</v>
      </c>
      <c r="BB8" t="s">
        <v>235</v>
      </c>
      <c r="BC8" t="s">
        <v>234</v>
      </c>
      <c r="BD8" t="s">
        <v>233</v>
      </c>
      <c r="BE8" t="s">
        <v>232</v>
      </c>
      <c r="BF8" t="s">
        <v>231</v>
      </c>
      <c r="BG8" t="s">
        <v>230</v>
      </c>
      <c r="BH8" t="s">
        <v>229</v>
      </c>
      <c r="BI8" t="s">
        <v>228</v>
      </c>
      <c r="BJ8" t="s">
        <v>227</v>
      </c>
      <c r="BK8" t="s">
        <v>226</v>
      </c>
      <c r="BL8" t="s">
        <v>225</v>
      </c>
      <c r="BM8" t="s">
        <v>224</v>
      </c>
      <c r="BN8" t="s">
        <v>223</v>
      </c>
      <c r="BO8" t="s">
        <v>222</v>
      </c>
      <c r="BP8" t="s">
        <v>221</v>
      </c>
      <c r="BQ8" t="s">
        <v>220</v>
      </c>
      <c r="BR8" t="s">
        <v>219</v>
      </c>
      <c r="BS8" t="s">
        <v>218</v>
      </c>
      <c r="BT8" t="s">
        <v>217</v>
      </c>
      <c r="BU8" t="s">
        <v>216</v>
      </c>
      <c r="BV8" t="s">
        <v>215</v>
      </c>
      <c r="BW8" t="s">
        <v>214</v>
      </c>
      <c r="BX8" t="s">
        <v>213</v>
      </c>
      <c r="BY8" t="s">
        <v>212</v>
      </c>
      <c r="BZ8" t="s">
        <v>211</v>
      </c>
      <c r="CA8" t="s">
        <v>210</v>
      </c>
      <c r="CB8" t="s">
        <v>209</v>
      </c>
      <c r="CC8" t="s">
        <v>208</v>
      </c>
      <c r="CD8" t="s">
        <v>207</v>
      </c>
      <c r="CE8" t="s">
        <v>206</v>
      </c>
      <c r="CF8" t="s">
        <v>205</v>
      </c>
      <c r="CG8" t="s">
        <v>204</v>
      </c>
      <c r="CH8" t="s">
        <v>203</v>
      </c>
      <c r="CI8" t="s">
        <v>202</v>
      </c>
      <c r="CJ8" t="s">
        <v>201</v>
      </c>
      <c r="CK8" t="s">
        <v>200</v>
      </c>
      <c r="CL8" t="s">
        <v>199</v>
      </c>
      <c r="CM8" t="s">
        <v>198</v>
      </c>
      <c r="CN8" t="s">
        <v>197</v>
      </c>
      <c r="CO8" t="s">
        <v>196</v>
      </c>
      <c r="CP8" t="s">
        <v>195</v>
      </c>
      <c r="CQ8" t="s">
        <v>194</v>
      </c>
      <c r="CR8" t="s">
        <v>193</v>
      </c>
      <c r="CS8" t="s">
        <v>192</v>
      </c>
      <c r="CT8" t="s">
        <v>191</v>
      </c>
      <c r="CU8" t="s">
        <v>190</v>
      </c>
      <c r="CV8" t="s">
        <v>189</v>
      </c>
      <c r="CW8" t="s">
        <v>188</v>
      </c>
      <c r="CX8" t="s">
        <v>187</v>
      </c>
      <c r="CY8" t="s">
        <v>186</v>
      </c>
      <c r="CZ8" t="s">
        <v>185</v>
      </c>
      <c r="DA8" t="s">
        <v>7</v>
      </c>
      <c r="DB8" t="s">
        <v>184</v>
      </c>
      <c r="DC8" t="s">
        <v>183</v>
      </c>
      <c r="DD8" t="s">
        <v>182</v>
      </c>
      <c r="DE8" t="s">
        <v>181</v>
      </c>
      <c r="DF8" t="s">
        <v>180</v>
      </c>
      <c r="DG8" t="s">
        <v>179</v>
      </c>
      <c r="DH8" t="s">
        <v>178</v>
      </c>
      <c r="DI8" t="s">
        <v>177</v>
      </c>
      <c r="DJ8" t="s">
        <v>176</v>
      </c>
      <c r="DK8" t="s">
        <v>175</v>
      </c>
      <c r="DL8" t="s">
        <v>174</v>
      </c>
      <c r="DM8" t="s">
        <v>173</v>
      </c>
      <c r="DN8" t="s">
        <v>172</v>
      </c>
      <c r="DO8" t="s">
        <v>171</v>
      </c>
      <c r="DP8" t="s">
        <v>170</v>
      </c>
      <c r="DQ8" t="s">
        <v>169</v>
      </c>
      <c r="DR8" t="s">
        <v>168</v>
      </c>
      <c r="DS8" t="s">
        <v>167</v>
      </c>
      <c r="DT8" t="s">
        <v>166</v>
      </c>
      <c r="DU8" t="s">
        <v>165</v>
      </c>
      <c r="DV8" t="s">
        <v>164</v>
      </c>
      <c r="DW8" t="s">
        <v>163</v>
      </c>
      <c r="DX8" t="s">
        <v>162</v>
      </c>
      <c r="DY8" t="s">
        <v>161</v>
      </c>
      <c r="DZ8" t="s">
        <v>160</v>
      </c>
      <c r="EA8" t="s">
        <v>159</v>
      </c>
      <c r="EB8" t="s">
        <v>158</v>
      </c>
      <c r="EC8" t="s">
        <v>157</v>
      </c>
      <c r="ED8" t="s">
        <v>156</v>
      </c>
      <c r="EE8" t="s">
        <v>155</v>
      </c>
      <c r="EF8" t="s">
        <v>154</v>
      </c>
      <c r="EG8" t="s">
        <v>153</v>
      </c>
      <c r="EH8" t="s">
        <v>152</v>
      </c>
      <c r="EI8" t="s">
        <v>151</v>
      </c>
      <c r="EJ8" t="s">
        <v>150</v>
      </c>
      <c r="EK8" t="s">
        <v>149</v>
      </c>
      <c r="EL8" t="s">
        <v>148</v>
      </c>
      <c r="EM8" t="s">
        <v>147</v>
      </c>
      <c r="EN8" t="s">
        <v>146</v>
      </c>
      <c r="EO8" t="s">
        <v>145</v>
      </c>
      <c r="EP8" t="s">
        <v>144</v>
      </c>
      <c r="EQ8" t="s">
        <v>143</v>
      </c>
      <c r="ER8" t="s">
        <v>142</v>
      </c>
      <c r="ES8" t="s">
        <v>141</v>
      </c>
      <c r="ET8" t="s">
        <v>140</v>
      </c>
      <c r="EU8" t="s">
        <v>139</v>
      </c>
      <c r="EV8" t="s">
        <v>138</v>
      </c>
      <c r="EW8" t="s">
        <v>137</v>
      </c>
      <c r="EX8" t="s">
        <v>136</v>
      </c>
      <c r="EY8" t="s">
        <v>135</v>
      </c>
      <c r="EZ8" t="s">
        <v>134</v>
      </c>
      <c r="FA8" t="s">
        <v>133</v>
      </c>
      <c r="FB8" t="s">
        <v>132</v>
      </c>
      <c r="FC8" t="s">
        <v>131</v>
      </c>
      <c r="FD8" t="s">
        <v>130</v>
      </c>
      <c r="FE8" t="s">
        <v>129</v>
      </c>
      <c r="FF8" t="s">
        <v>128</v>
      </c>
      <c r="FG8" t="s">
        <v>127</v>
      </c>
      <c r="FH8" t="s">
        <v>126</v>
      </c>
      <c r="FI8" t="s">
        <v>125</v>
      </c>
      <c r="FJ8" t="s">
        <v>124</v>
      </c>
      <c r="FK8" t="s">
        <v>123</v>
      </c>
      <c r="FL8" t="s">
        <v>122</v>
      </c>
      <c r="FM8" t="s">
        <v>121</v>
      </c>
      <c r="FN8" t="s">
        <v>120</v>
      </c>
      <c r="FO8" t="s">
        <v>119</v>
      </c>
      <c r="FP8" t="s">
        <v>118</v>
      </c>
      <c r="FQ8" t="s">
        <v>117</v>
      </c>
      <c r="FR8" t="s">
        <v>116</v>
      </c>
      <c r="FS8" t="s">
        <v>115</v>
      </c>
      <c r="FT8" t="s">
        <v>114</v>
      </c>
      <c r="FU8" t="s">
        <v>113</v>
      </c>
      <c r="FV8" t="s">
        <v>112</v>
      </c>
      <c r="FW8" t="s">
        <v>111</v>
      </c>
      <c r="FX8" t="s">
        <v>110</v>
      </c>
      <c r="FY8" t="s">
        <v>109</v>
      </c>
      <c r="FZ8" t="s">
        <v>108</v>
      </c>
      <c r="GA8" t="s">
        <v>107</v>
      </c>
      <c r="GB8" t="s">
        <v>106</v>
      </c>
      <c r="GC8" t="s">
        <v>105</v>
      </c>
      <c r="GD8" t="s">
        <v>104</v>
      </c>
      <c r="GE8" t="s">
        <v>103</v>
      </c>
      <c r="GF8" t="s">
        <v>102</v>
      </c>
      <c r="GG8" t="s">
        <v>101</v>
      </c>
      <c r="GH8" t="s">
        <v>100</v>
      </c>
      <c r="GI8" t="s">
        <v>99</v>
      </c>
      <c r="GJ8" t="s">
        <v>98</v>
      </c>
      <c r="GK8" t="s">
        <v>97</v>
      </c>
      <c r="GL8" t="s">
        <v>96</v>
      </c>
      <c r="GM8" t="s">
        <v>95</v>
      </c>
      <c r="GN8" t="s">
        <v>94</v>
      </c>
      <c r="GO8" t="s">
        <v>93</v>
      </c>
      <c r="GP8" t="s">
        <v>92</v>
      </c>
      <c r="GQ8" t="s">
        <v>91</v>
      </c>
      <c r="GR8" t="s">
        <v>90</v>
      </c>
      <c r="GS8" t="s">
        <v>89</v>
      </c>
      <c r="GT8" t="s">
        <v>88</v>
      </c>
      <c r="GU8" t="s">
        <v>87</v>
      </c>
      <c r="GV8" t="s">
        <v>86</v>
      </c>
      <c r="GW8" t="s">
        <v>85</v>
      </c>
      <c r="GX8" t="s">
        <v>84</v>
      </c>
      <c r="GY8" t="s">
        <v>83</v>
      </c>
      <c r="GZ8" t="s">
        <v>82</v>
      </c>
      <c r="HA8" t="s">
        <v>81</v>
      </c>
      <c r="HB8" t="s">
        <v>80</v>
      </c>
      <c r="HC8" t="s">
        <v>79</v>
      </c>
      <c r="HD8" t="s">
        <v>78</v>
      </c>
      <c r="HE8" t="s">
        <v>77</v>
      </c>
      <c r="HF8" t="s">
        <v>76</v>
      </c>
      <c r="HG8" t="s">
        <v>75</v>
      </c>
      <c r="HH8" t="s">
        <v>74</v>
      </c>
      <c r="HI8" t="s">
        <v>73</v>
      </c>
      <c r="HJ8" t="s">
        <v>72</v>
      </c>
      <c r="HK8" t="s">
        <v>71</v>
      </c>
      <c r="HL8" t="s">
        <v>70</v>
      </c>
      <c r="HM8" t="s">
        <v>69</v>
      </c>
      <c r="HN8" t="s">
        <v>68</v>
      </c>
      <c r="HO8" t="s">
        <v>67</v>
      </c>
      <c r="HP8" t="s">
        <v>66</v>
      </c>
      <c r="HQ8" t="s">
        <v>65</v>
      </c>
      <c r="HR8" t="s">
        <v>64</v>
      </c>
      <c r="HS8" t="s">
        <v>63</v>
      </c>
      <c r="HT8" t="s">
        <v>62</v>
      </c>
      <c r="HU8" t="s">
        <v>61</v>
      </c>
      <c r="HV8" t="s">
        <v>60</v>
      </c>
      <c r="HW8" t="s">
        <v>59</v>
      </c>
      <c r="HX8" t="s">
        <v>58</v>
      </c>
      <c r="HY8" t="s">
        <v>57</v>
      </c>
      <c r="HZ8" t="s">
        <v>56</v>
      </c>
      <c r="IA8" t="s">
        <v>55</v>
      </c>
      <c r="IB8" t="s">
        <v>54</v>
      </c>
      <c r="IC8" t="s">
        <v>53</v>
      </c>
      <c r="ID8" t="s">
        <v>52</v>
      </c>
      <c r="IE8" t="s">
        <v>51</v>
      </c>
      <c r="IF8" t="s">
        <v>50</v>
      </c>
      <c r="IG8" t="s">
        <v>49</v>
      </c>
      <c r="IH8" t="s">
        <v>48</v>
      </c>
      <c r="II8" t="s">
        <v>47</v>
      </c>
      <c r="IJ8" t="s">
        <v>46</v>
      </c>
      <c r="IK8" t="s">
        <v>45</v>
      </c>
      <c r="IL8" t="s">
        <v>44</v>
      </c>
      <c r="IM8" t="s">
        <v>43</v>
      </c>
      <c r="IN8" t="s">
        <v>42</v>
      </c>
      <c r="IO8" t="s">
        <v>41</v>
      </c>
    </row>
    <row r="9" spans="1:249" ht="15.75" x14ac:dyDescent="0.25">
      <c r="A9" s="9" t="s">
        <v>301</v>
      </c>
    </row>
    <row r="10" spans="1:249" x14ac:dyDescent="0.2">
      <c r="A10" t="s">
        <v>289</v>
      </c>
      <c r="B10" t="s">
        <v>295</v>
      </c>
      <c r="C10" t="s">
        <v>296</v>
      </c>
      <c r="D10" t="s">
        <v>297</v>
      </c>
      <c r="E10" t="s">
        <v>298</v>
      </c>
      <c r="F10" t="s">
        <v>299</v>
      </c>
      <c r="G10" t="s">
        <v>300</v>
      </c>
    </row>
    <row r="11" spans="1:249" x14ac:dyDescent="0.2">
      <c r="A11" t="s">
        <v>8</v>
      </c>
      <c r="B11" t="s">
        <v>280</v>
      </c>
      <c r="C11" t="s">
        <v>290</v>
      </c>
      <c r="D11" t="s">
        <v>291</v>
      </c>
      <c r="E11" t="s">
        <v>292</v>
      </c>
      <c r="F11" t="s">
        <v>293</v>
      </c>
      <c r="G11" t="s">
        <v>294</v>
      </c>
    </row>
    <row r="13" spans="1:249" ht="15.75" x14ac:dyDescent="0.25">
      <c r="A13" s="3" t="s">
        <v>12</v>
      </c>
      <c r="B13" s="3" t="s">
        <v>551</v>
      </c>
    </row>
    <row r="14" spans="1:249" x14ac:dyDescent="0.2">
      <c r="A14" t="s">
        <v>638</v>
      </c>
      <c r="B14" t="s">
        <v>623</v>
      </c>
      <c r="C14" t="s">
        <v>624</v>
      </c>
      <c r="D14" t="s">
        <v>639</v>
      </c>
      <c r="E14" t="s">
        <v>640</v>
      </c>
      <c r="F14" t="s">
        <v>641</v>
      </c>
    </row>
    <row r="15" spans="1:249" ht="15.75" x14ac:dyDescent="0.25">
      <c r="A15" s="3" t="s">
        <v>12</v>
      </c>
      <c r="B15" s="3" t="s">
        <v>552</v>
      </c>
    </row>
    <row r="16" spans="1:249" x14ac:dyDescent="0.2">
      <c r="A16" t="s">
        <v>29</v>
      </c>
      <c r="B16" t="s">
        <v>30</v>
      </c>
      <c r="C16" t="s">
        <v>31</v>
      </c>
      <c r="D16" t="s">
        <v>32</v>
      </c>
      <c r="E16" t="s">
        <v>33</v>
      </c>
      <c r="F16" t="s">
        <v>34</v>
      </c>
      <c r="G16" t="s">
        <v>35</v>
      </c>
      <c r="H16" t="s">
        <v>36</v>
      </c>
      <c r="I16" t="s">
        <v>37</v>
      </c>
      <c r="J16" t="s">
        <v>38</v>
      </c>
      <c r="K16" t="s">
        <v>39</v>
      </c>
      <c r="L16" t="s">
        <v>40</v>
      </c>
    </row>
    <row r="18" spans="1:29" ht="15.75" x14ac:dyDescent="0.25">
      <c r="A18" s="3" t="s">
        <v>12</v>
      </c>
      <c r="B18" s="3" t="s">
        <v>591</v>
      </c>
    </row>
    <row r="19" spans="1:29" x14ac:dyDescent="0.2">
      <c r="A19" t="s">
        <v>642</v>
      </c>
      <c r="B19" t="s">
        <v>643</v>
      </c>
      <c r="C19" t="s">
        <v>644</v>
      </c>
      <c r="D19" t="s">
        <v>645</v>
      </c>
      <c r="E19" t="s">
        <v>646</v>
      </c>
      <c r="F19" t="s">
        <v>647</v>
      </c>
      <c r="G19" t="s">
        <v>648</v>
      </c>
      <c r="H19" t="s">
        <v>649</v>
      </c>
      <c r="I19" t="s">
        <v>650</v>
      </c>
      <c r="J19" t="s">
        <v>651</v>
      </c>
      <c r="K19" t="s">
        <v>652</v>
      </c>
      <c r="L19" t="s">
        <v>653</v>
      </c>
      <c r="M19" t="s">
        <v>654</v>
      </c>
      <c r="N19" t="s">
        <v>655</v>
      </c>
      <c r="O19" t="s">
        <v>656</v>
      </c>
      <c r="P19" t="s">
        <v>657</v>
      </c>
      <c r="Q19" t="s">
        <v>631</v>
      </c>
      <c r="R19" t="s">
        <v>717</v>
      </c>
      <c r="S19" t="s">
        <v>658</v>
      </c>
      <c r="T19" t="s">
        <v>659</v>
      </c>
      <c r="U19" t="s">
        <v>660</v>
      </c>
      <c r="V19" t="s">
        <v>661</v>
      </c>
      <c r="W19" t="s">
        <v>662</v>
      </c>
      <c r="X19" t="s">
        <v>663</v>
      </c>
      <c r="Y19" t="s">
        <v>664</v>
      </c>
      <c r="Z19" t="s">
        <v>665</v>
      </c>
      <c r="AA19" t="s">
        <v>666</v>
      </c>
      <c r="AB19" t="s">
        <v>667</v>
      </c>
      <c r="AC19" t="s">
        <v>668</v>
      </c>
    </row>
    <row r="21" spans="1:29" ht="15.75" x14ac:dyDescent="0.25">
      <c r="A21" s="3" t="s">
        <v>12</v>
      </c>
      <c r="B21" s="3" t="s">
        <v>590</v>
      </c>
    </row>
    <row r="22" spans="1:29" x14ac:dyDescent="0.2">
      <c r="A22" t="s">
        <v>684</v>
      </c>
      <c r="B22" t="s">
        <v>685</v>
      </c>
      <c r="C22" t="s">
        <v>686</v>
      </c>
    </row>
    <row r="23" spans="1:29" ht="15.75" x14ac:dyDescent="0.25">
      <c r="A23" s="3" t="s">
        <v>12</v>
      </c>
      <c r="B23" s="3" t="s">
        <v>611</v>
      </c>
    </row>
    <row r="24" spans="1:29" x14ac:dyDescent="0.2">
      <c r="A24" t="s">
        <v>687</v>
      </c>
      <c r="B24" t="s">
        <v>688</v>
      </c>
      <c r="C24" t="s">
        <v>690</v>
      </c>
      <c r="D24" t="s">
        <v>689</v>
      </c>
      <c r="E24" t="s">
        <v>691</v>
      </c>
      <c r="F24" t="s">
        <v>692</v>
      </c>
      <c r="G24" t="s">
        <v>631</v>
      </c>
      <c r="H24" t="s">
        <v>693</v>
      </c>
    </row>
    <row r="25" spans="1:29" ht="15.75" x14ac:dyDescent="0.25">
      <c r="A25" s="3" t="s">
        <v>12</v>
      </c>
      <c r="B25" s="3" t="s">
        <v>612</v>
      </c>
    </row>
    <row r="26" spans="1:29" x14ac:dyDescent="0.2">
      <c r="A26" t="s">
        <v>695</v>
      </c>
      <c r="B26" t="s">
        <v>696</v>
      </c>
      <c r="C26" t="s">
        <v>697</v>
      </c>
      <c r="D26" t="s">
        <v>698</v>
      </c>
      <c r="E26" t="s">
        <v>699</v>
      </c>
      <c r="F26" t="s">
        <v>700</v>
      </c>
      <c r="G26" t="s">
        <v>634</v>
      </c>
      <c r="H26" t="s">
        <v>631</v>
      </c>
      <c r="I26" t="s">
        <v>701</v>
      </c>
      <c r="J26" t="s">
        <v>702</v>
      </c>
      <c r="K26" t="s">
        <v>703</v>
      </c>
    </row>
    <row r="28" spans="1:29" ht="15.75" x14ac:dyDescent="0.25">
      <c r="A28" s="3" t="s">
        <v>12</v>
      </c>
      <c r="B28" s="3" t="s">
        <v>577</v>
      </c>
    </row>
    <row r="29" spans="1:29" x14ac:dyDescent="0.2">
      <c r="A29" t="s">
        <v>625</v>
      </c>
      <c r="B29" t="s">
        <v>626</v>
      </c>
      <c r="C29" t="s">
        <v>627</v>
      </c>
      <c r="D29" t="s">
        <v>628</v>
      </c>
      <c r="E29" t="s">
        <v>629</v>
      </c>
      <c r="F29" t="s">
        <v>630</v>
      </c>
      <c r="G29" t="s">
        <v>631</v>
      </c>
    </row>
    <row r="30" spans="1:29" ht="15.75" x14ac:dyDescent="0.25">
      <c r="A30" s="3" t="s">
        <v>12</v>
      </c>
      <c r="B30" s="3" t="s">
        <v>578</v>
      </c>
    </row>
    <row r="31" spans="1:29" x14ac:dyDescent="0.2">
      <c r="A31" t="s">
        <v>632</v>
      </c>
      <c r="B31" t="s">
        <v>633</v>
      </c>
      <c r="C31" t="s">
        <v>629</v>
      </c>
      <c r="D31" t="s">
        <v>694</v>
      </c>
      <c r="E31" t="s">
        <v>631</v>
      </c>
    </row>
    <row r="32" spans="1:29" ht="15.75" x14ac:dyDescent="0.25">
      <c r="A32" s="3" t="s">
        <v>12</v>
      </c>
      <c r="B32" s="3" t="s">
        <v>621</v>
      </c>
    </row>
    <row r="33" spans="1:9" x14ac:dyDescent="0.2">
      <c r="A33" t="s">
        <v>634</v>
      </c>
      <c r="B33" t="s">
        <v>635</v>
      </c>
      <c r="C33" t="s">
        <v>636</v>
      </c>
      <c r="D33" t="s">
        <v>637</v>
      </c>
      <c r="E33" t="s">
        <v>631</v>
      </c>
    </row>
    <row r="34" spans="1:9" ht="15.75" x14ac:dyDescent="0.25">
      <c r="A34" s="3" t="s">
        <v>12</v>
      </c>
      <c r="B34" s="3" t="s">
        <v>585</v>
      </c>
    </row>
    <row r="35" spans="1:9" x14ac:dyDescent="0.2">
      <c r="A35" t="s">
        <v>669</v>
      </c>
      <c r="B35" t="s">
        <v>670</v>
      </c>
      <c r="C35" t="s">
        <v>671</v>
      </c>
      <c r="D35" t="s">
        <v>672</v>
      </c>
      <c r="E35" t="s">
        <v>631</v>
      </c>
    </row>
    <row r="36" spans="1:9" ht="15.75" x14ac:dyDescent="0.25">
      <c r="A36" s="3" t="s">
        <v>12</v>
      </c>
      <c r="B36" s="3" t="s">
        <v>584</v>
      </c>
    </row>
    <row r="37" spans="1:9" x14ac:dyDescent="0.2">
      <c r="A37" t="s">
        <v>673</v>
      </c>
      <c r="B37" t="s">
        <v>674</v>
      </c>
      <c r="C37" t="s">
        <v>675</v>
      </c>
    </row>
    <row r="38" spans="1:9" ht="15.75" x14ac:dyDescent="0.25">
      <c r="A38" s="3" t="s">
        <v>12</v>
      </c>
      <c r="B38" s="3" t="s">
        <v>622</v>
      </c>
    </row>
    <row r="39" spans="1:9" x14ac:dyDescent="0.2">
      <c r="A39" t="s">
        <v>682</v>
      </c>
      <c r="B39" t="s">
        <v>677</v>
      </c>
      <c r="C39" t="s">
        <v>678</v>
      </c>
      <c r="D39" t="s">
        <v>676</v>
      </c>
      <c r="E39" t="s">
        <v>683</v>
      </c>
      <c r="F39" t="s">
        <v>680</v>
      </c>
      <c r="G39" t="s">
        <v>631</v>
      </c>
      <c r="H39" t="s">
        <v>681</v>
      </c>
      <c r="I39" t="s">
        <v>679</v>
      </c>
    </row>
  </sheetData>
  <sheetProtection sheet="1" objects="1" scenarios="1" formatColumns="0" formatRows="0" insertRows="0" deleteRows="0"/>
  <dataConsolidate/>
  <pageMargins left="0.7" right="0.7" top="0.75" bottom="0.75" header="0.3" footer="0.3"/>
  <pageSetup paperSize="9" orientation="portrait" r:id="rId1"/>
</worksheet>
</file>

<file path=customUI/customUI.xml><?xml version="1.0" encoding="utf-8"?>
<customUI xmlns="http://schemas.microsoft.com/office/2006/01/customui">
  <commands>
    <command idMso="Paste" onAction="PasteTarget"/>
    <command idMso="PasteGallery" enabled="false"/>
    <command idMso="PasteGalleryMini" enabled="false"/>
    <command idMso="PasteMenu" enabled="false"/>
    <command idMso="PasteLink" enabled="false"/>
    <command idMso="PasteAsHyperlink" enabled="false"/>
    <command idMso="PasteSpecialDialog" enabled="false"/>
    <command idMso="PasteFormatting" enabled="false"/>
    <command idMso="PasteFormulas" enabled="false"/>
    <command idMso="PasteValues" enabled="false"/>
    <command idMso="PasteFormulasAndNumberFormatting" enabled="false"/>
    <command idMso="PasteTranspose" enabled="false"/>
    <command idMso="PastePictureLink" enabled="false"/>
  </commands>
  <ribbon>
    <tabs>
      <!-- Set visible to false for the Clipboard group on the Home tab-->
      <tab idMso="TabHome">
        <group idMso="GroupClipboard" visible="false"/>
      </tab>
      <!-- Point to the Built-in tab to the ribbon -->
      <tab idMso="TabHome">
        <!-- Add Clipboard group -->
        <group id="DupClipboard" label="Clipboard" insertBeforeMso="GroupClipboard">
          <button idMso="Paste" size="large"/>
          <button idMso="Cut"/>
          <button idMso="Copy"/>
          <dialogBoxLauncher>
            <button idMso="ShowClipboard"/>
          </dialogBoxLauncher>
        </group>
      </tab>
    </tabs>
  </ribbon>
</customUI>
</file>

<file path=customUI/customUI14.xml><?xml version="1.0" encoding="utf-8"?>
<customUI xmlns="http://schemas.microsoft.com/office/2009/07/customui">
  <commands>
    <command idMso="Paste" onAction="PasteTarget"/>
    <command idMso="PasteGallery" enabled="false"/>
    <command idMso="PasteGalleryMini" enabled="false"/>
    <command idMso="PasteMenu" enabled="false"/>
    <command idMso="PasteLink" enabled="false"/>
    <command idMso="PasteAsHyperlink" enabled="false"/>
    <command idMso="PasteSpecialDialog" enabled="false"/>
    <command idMso="PasteFormatting" enabled="false"/>
    <command idMso="PasteFormulas" enabled="false"/>
    <command idMso="PasteValues" enabled="false"/>
    <command idMso="PasteFormulasAndNumberFormatting" enabled="false"/>
    <command idMso="PasteTranspose" enabled="false"/>
    <command idMso="PastePictureLink" enabled="false"/>
  </commands>
  <ribbon>
    <tabs>
      <!-- Set visible to false for the Clipboard group on the Home tab-->
      <tab idMso="TabHome">
        <group idMso="GroupClipboard" visible="false"/>
      </tab>
      <!-- Point to the Built-in tab to the ribbon -->
      <tab idMso="TabHome">
        <!-- Add Clipboard group -->
        <group id="DupClipboard" label="Clipboard" insertBeforeMso="GroupClipboard">
          <button idMso="Paste" size="large"/>
          <button idMso="Cut"/>
          <button idMso="Copy"/>
          <dialogBoxLauncher>
            <button idMso="ShowClipboard"/>
          </dialogBoxLauncher>
        </group>
      </tab>
    </tabs>
  </ribbon>
</customUI>
</file>

<file path=docProps/app.xml><?xml version="1.0" encoding="utf-8"?>
<Properties xmlns="http://schemas.openxmlformats.org/officeDocument/2006/extended-properties" xmlns:vt="http://schemas.openxmlformats.org/officeDocument/2006/docPropsVTypes">
  <Template/>
  <TotalTime>957</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Help</vt:lpstr>
      <vt:lpstr>1 - PUBLI</vt:lpstr>
      <vt:lpstr>2 - SPECIES</vt:lpstr>
      <vt:lpstr>3 - PLANT INGREDIENTS</vt:lpstr>
      <vt:lpstr>4 - ETHNO</vt:lpstr>
      <vt:lpstr>5 - IN VIVO PHARMACO</vt:lpstr>
      <vt:lpstr>6 - IN VITRO PHARMACO</vt:lpstr>
      <vt:lpstr>7 - CLINICAL</vt:lpstr>
      <vt:lpstr>_LISTS</vt:lpstr>
      <vt:lpstr>monthsList</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Adrien Cheype</dc:creator>
  <cp:keywords/>
  <dc:description/>
  <cp:lastModifiedBy>Adrien</cp:lastModifiedBy>
  <cp:revision>171</cp:revision>
  <cp:lastPrinted>1601-01-01T00:00:00Z</cp:lastPrinted>
  <dcterms:created xsi:type="dcterms:W3CDTF">2012-08-29T09:29:39Z</dcterms:created>
  <dcterms:modified xsi:type="dcterms:W3CDTF">2015-04-10T00:30:17Z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12.0000</vt:lpwstr>
  </property>
  <property fmtid="{D5CDD505-2E9C-101B-9397-08002B2CF9AE}" pid="3" name="Company">
    <vt:lpwstr>IRD</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ies>
</file>